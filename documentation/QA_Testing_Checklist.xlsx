
<file path=[Content_Types].xml><?xml version="1.0" encoding="utf-8"?>
<Types xmlns="http://schemas.openxmlformats.org/package/2006/content-types"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360" yWindow="525" windowWidth="19815" windowHeight="7365" activeTab="1"/>
  </bookViews>
  <sheets>
    <sheet name="📊 Dashboard" sheetId="1" r:id="rId1"/>
    <sheet name="1.UI Visual" sheetId="2" r:id="rId2"/>
    <sheet name="2.Functional" sheetId="3" r:id="rId3"/>
    <sheet name="3.Responsive" sheetId="4" r:id="rId4"/>
    <sheet name="4.CrossBrowser" sheetId="5" r:id="rId5"/>
    <sheet name="5.Accessibility" sheetId="6" r:id="rId6"/>
    <sheet name="6.Performance" sheetId="7" r:id="rId7"/>
    <sheet name="🐛 Bug Log" sheetId="8" state="hidden" r:id="rId8"/>
    <sheet name="📝 Test Report" sheetId="9" r:id="rId9"/>
  </sheets>
  <calcPr calcId="124519"/>
</workbook>
</file>

<file path=xl/calcChain.xml><?xml version="1.0" encoding="utf-8"?>
<calcChain xmlns="http://schemas.openxmlformats.org/spreadsheetml/2006/main">
  <c r="G55" i="7"/>
  <c r="F55"/>
  <c r="E55"/>
  <c r="D55"/>
  <c r="C55"/>
  <c r="F52"/>
  <c r="E52"/>
  <c r="F51"/>
  <c r="E51"/>
  <c r="F50"/>
  <c r="E50"/>
  <c r="F49"/>
  <c r="E49"/>
  <c r="F48"/>
  <c r="E48"/>
  <c r="F46"/>
  <c r="E46"/>
  <c r="F45"/>
  <c r="E45"/>
  <c r="F44"/>
  <c r="E44"/>
  <c r="F43"/>
  <c r="E43"/>
  <c r="F42"/>
  <c r="E42"/>
  <c r="F41"/>
  <c r="E41"/>
  <c r="F40"/>
  <c r="E40"/>
  <c r="F39"/>
  <c r="E39"/>
  <c r="F37"/>
  <c r="E37"/>
  <c r="F36"/>
  <c r="E36"/>
  <c r="F35"/>
  <c r="E35"/>
  <c r="F34"/>
  <c r="E34"/>
  <c r="F33"/>
  <c r="E33"/>
  <c r="F32"/>
  <c r="E32"/>
  <c r="F31"/>
  <c r="E31"/>
  <c r="F30"/>
  <c r="E30"/>
  <c r="F29"/>
  <c r="E29"/>
  <c r="F28"/>
  <c r="E28"/>
  <c r="F26"/>
  <c r="E26"/>
  <c r="F25"/>
  <c r="E25"/>
  <c r="F24"/>
  <c r="E24"/>
  <c r="F23"/>
  <c r="E23"/>
  <c r="F22"/>
  <c r="E22"/>
  <c r="F21"/>
  <c r="E21"/>
  <c r="F20"/>
  <c r="E20"/>
  <c r="F19"/>
  <c r="E19"/>
  <c r="F18"/>
  <c r="E18"/>
  <c r="F17"/>
  <c r="E17"/>
  <c r="F15"/>
  <c r="E15"/>
  <c r="F14"/>
  <c r="E14"/>
  <c r="F13"/>
  <c r="E13"/>
  <c r="F12"/>
  <c r="E12"/>
  <c r="F11"/>
  <c r="E11"/>
  <c r="F10"/>
  <c r="E10"/>
  <c r="F9"/>
  <c r="E9"/>
  <c r="F8"/>
  <c r="E8"/>
  <c r="F7"/>
  <c r="E7"/>
  <c r="F6"/>
  <c r="E6"/>
  <c r="G57" i="6"/>
  <c r="F57"/>
  <c r="E57"/>
  <c r="D57"/>
  <c r="C57"/>
  <c r="F54"/>
  <c r="E54"/>
  <c r="F53"/>
  <c r="E53"/>
  <c r="F52"/>
  <c r="E52"/>
  <c r="F51"/>
  <c r="E51"/>
  <c r="F50"/>
  <c r="E50"/>
  <c r="F49"/>
  <c r="E49"/>
  <c r="F48"/>
  <c r="E48"/>
  <c r="F46"/>
  <c r="E46"/>
  <c r="F45"/>
  <c r="E45"/>
  <c r="F44"/>
  <c r="E44"/>
  <c r="F43"/>
  <c r="E43"/>
  <c r="F42"/>
  <c r="E42"/>
  <c r="F41"/>
  <c r="E41"/>
  <c r="F40"/>
  <c r="E40"/>
  <c r="F39"/>
  <c r="E39"/>
  <c r="F38"/>
  <c r="E38"/>
  <c r="F37"/>
  <c r="E37"/>
  <c r="F36"/>
  <c r="E36"/>
  <c r="F35"/>
  <c r="E35"/>
  <c r="F33"/>
  <c r="E33"/>
  <c r="F32"/>
  <c r="E32"/>
  <c r="F31"/>
  <c r="E31"/>
  <c r="F30"/>
  <c r="E30"/>
  <c r="F29"/>
  <c r="E29"/>
  <c r="F28"/>
  <c r="E28"/>
  <c r="F27"/>
  <c r="E27"/>
  <c r="F26"/>
  <c r="E26"/>
  <c r="F25"/>
  <c r="E25"/>
  <c r="F24"/>
  <c r="E24"/>
  <c r="F23"/>
  <c r="E23"/>
  <c r="F22"/>
  <c r="E22"/>
  <c r="F20"/>
  <c r="E20"/>
  <c r="F19"/>
  <c r="E19"/>
  <c r="F18"/>
  <c r="E18"/>
  <c r="F17"/>
  <c r="E17"/>
  <c r="F16"/>
  <c r="E16"/>
  <c r="F15"/>
  <c r="E15"/>
  <c r="F14"/>
  <c r="E14"/>
  <c r="F13"/>
  <c r="E13"/>
  <c r="F12"/>
  <c r="E12"/>
  <c r="F11"/>
  <c r="E11"/>
  <c r="F10"/>
  <c r="E10"/>
  <c r="F9"/>
  <c r="E9"/>
  <c r="F8"/>
  <c r="E8"/>
  <c r="F7"/>
  <c r="E7"/>
  <c r="F6"/>
  <c r="E6"/>
  <c r="G49" i="5"/>
  <c r="F49"/>
  <c r="E49"/>
  <c r="D49"/>
  <c r="C49"/>
  <c r="F46"/>
  <c r="E46"/>
  <c r="F45"/>
  <c r="E45"/>
  <c r="F44"/>
  <c r="E44"/>
  <c r="F43"/>
  <c r="E43"/>
  <c r="F42"/>
  <c r="E42"/>
  <c r="F41"/>
  <c r="E41"/>
  <c r="F39"/>
  <c r="E39"/>
  <c r="F38"/>
  <c r="E38"/>
  <c r="F37"/>
  <c r="E37"/>
  <c r="F36"/>
  <c r="E36"/>
  <c r="F35"/>
  <c r="E35"/>
  <c r="F34"/>
  <c r="E34"/>
  <c r="F33"/>
  <c r="E33"/>
  <c r="F31"/>
  <c r="E31"/>
  <c r="F30"/>
  <c r="E30"/>
  <c r="F29"/>
  <c r="E29"/>
  <c r="F28"/>
  <c r="E28"/>
  <c r="F27"/>
  <c r="E27"/>
  <c r="F26"/>
  <c r="E26"/>
  <c r="F25"/>
  <c r="E25"/>
  <c r="F24"/>
  <c r="E24"/>
  <c r="F22"/>
  <c r="E22"/>
  <c r="F21"/>
  <c r="E21"/>
  <c r="F20"/>
  <c r="E20"/>
  <c r="F19"/>
  <c r="E19"/>
  <c r="F18"/>
  <c r="E18"/>
  <c r="F17"/>
  <c r="E17"/>
  <c r="F16"/>
  <c r="E16"/>
  <c r="F15"/>
  <c r="E15"/>
  <c r="F13"/>
  <c r="E13"/>
  <c r="F12"/>
  <c r="E12"/>
  <c r="F11"/>
  <c r="E11"/>
  <c r="F10"/>
  <c r="E10"/>
  <c r="F9"/>
  <c r="E9"/>
  <c r="F8"/>
  <c r="E8"/>
  <c r="F7"/>
  <c r="E7"/>
  <c r="F6"/>
  <c r="E6"/>
  <c r="G53" i="4"/>
  <c r="F53"/>
  <c r="E53"/>
  <c r="D53"/>
  <c r="C53"/>
  <c r="F50"/>
  <c r="E50"/>
  <c r="F49"/>
  <c r="E49"/>
  <c r="F48"/>
  <c r="E48"/>
  <c r="F47"/>
  <c r="E47"/>
  <c r="F46"/>
  <c r="E46"/>
  <c r="F44"/>
  <c r="E44"/>
  <c r="F43"/>
  <c r="E43"/>
  <c r="F42"/>
  <c r="E42"/>
  <c r="F41"/>
  <c r="E41"/>
  <c r="F40"/>
  <c r="E40"/>
  <c r="F39"/>
  <c r="E39"/>
  <c r="F38"/>
  <c r="E38"/>
  <c r="F37"/>
  <c r="E37"/>
  <c r="F36"/>
  <c r="E36"/>
  <c r="F35"/>
  <c r="E35"/>
  <c r="F34"/>
  <c r="E34"/>
  <c r="F33"/>
  <c r="E33"/>
  <c r="F31"/>
  <c r="E31"/>
  <c r="F30"/>
  <c r="E30"/>
  <c r="F29"/>
  <c r="E29"/>
  <c r="F28"/>
  <c r="E28"/>
  <c r="F27"/>
  <c r="E27"/>
  <c r="F26"/>
  <c r="E26"/>
  <c r="F25"/>
  <c r="E25"/>
  <c r="F24"/>
  <c r="E24"/>
  <c r="F23"/>
  <c r="E23"/>
  <c r="F22"/>
  <c r="E22"/>
  <c r="F20"/>
  <c r="E20"/>
  <c r="F19"/>
  <c r="E19"/>
  <c r="F18"/>
  <c r="E18"/>
  <c r="F17"/>
  <c r="E17"/>
  <c r="F16"/>
  <c r="E16"/>
  <c r="F15"/>
  <c r="E15"/>
  <c r="F14"/>
  <c r="E14"/>
  <c r="F13"/>
  <c r="E13"/>
  <c r="F12"/>
  <c r="E12"/>
  <c r="F11"/>
  <c r="E11"/>
  <c r="F10"/>
  <c r="E10"/>
  <c r="F9"/>
  <c r="E9"/>
  <c r="F8"/>
  <c r="E8"/>
  <c r="F7"/>
  <c r="E7"/>
  <c r="F6"/>
  <c r="E6"/>
  <c r="G109" i="3"/>
  <c r="F109"/>
  <c r="E109"/>
  <c r="D109"/>
  <c r="C109"/>
  <c r="F106"/>
  <c r="E106"/>
  <c r="F105"/>
  <c r="E105"/>
  <c r="F104"/>
  <c r="E104"/>
  <c r="F103"/>
  <c r="E103"/>
  <c r="F102"/>
  <c r="E102"/>
  <c r="F101"/>
  <c r="E101"/>
  <c r="F100"/>
  <c r="E100"/>
  <c r="F98"/>
  <c r="E98"/>
  <c r="F97"/>
  <c r="E97"/>
  <c r="F96"/>
  <c r="E96"/>
  <c r="F95"/>
  <c r="E95"/>
  <c r="F94"/>
  <c r="E94"/>
  <c r="F93"/>
  <c r="E93"/>
  <c r="F91"/>
  <c r="E91"/>
  <c r="F90"/>
  <c r="E90"/>
  <c r="F89"/>
  <c r="E89"/>
  <c r="F88"/>
  <c r="E88"/>
  <c r="F87"/>
  <c r="E87"/>
  <c r="F86"/>
  <c r="E86"/>
  <c r="F85"/>
  <c r="E85"/>
  <c r="F84"/>
  <c r="E84"/>
  <c r="F83"/>
  <c r="E83"/>
  <c r="F82"/>
  <c r="E82"/>
  <c r="F80"/>
  <c r="E80"/>
  <c r="F79"/>
  <c r="E79"/>
  <c r="F78"/>
  <c r="E78"/>
  <c r="F77"/>
  <c r="E77"/>
  <c r="F76"/>
  <c r="E76"/>
  <c r="F75"/>
  <c r="E75"/>
  <c r="F74"/>
  <c r="E74"/>
  <c r="F73"/>
  <c r="E73"/>
  <c r="F72"/>
  <c r="E72"/>
  <c r="F71"/>
  <c r="E71"/>
  <c r="F69"/>
  <c r="E69"/>
  <c r="F68"/>
  <c r="E68"/>
  <c r="F67"/>
  <c r="E67"/>
  <c r="F66"/>
  <c r="E66"/>
  <c r="F65"/>
  <c r="E65"/>
  <c r="F64"/>
  <c r="E64"/>
  <c r="F63"/>
  <c r="E63"/>
  <c r="F62"/>
  <c r="E62"/>
  <c r="F61"/>
  <c r="E61"/>
  <c r="F60"/>
  <c r="E60"/>
  <c r="F58"/>
  <c r="E58"/>
  <c r="F57"/>
  <c r="E57"/>
  <c r="F56"/>
  <c r="E56"/>
  <c r="F55"/>
  <c r="E55"/>
  <c r="F54"/>
  <c r="E54"/>
  <c r="F53"/>
  <c r="E53"/>
  <c r="F52"/>
  <c r="E52"/>
  <c r="F51"/>
  <c r="E51"/>
  <c r="F50"/>
  <c r="E50"/>
  <c r="F49"/>
  <c r="E49"/>
  <c r="F48"/>
  <c r="E48"/>
  <c r="F47"/>
  <c r="E47"/>
  <c r="F46"/>
  <c r="E46"/>
  <c r="F45"/>
  <c r="E45"/>
  <c r="F44"/>
  <c r="E44"/>
  <c r="F42"/>
  <c r="E42"/>
  <c r="F41"/>
  <c r="E41"/>
  <c r="F40"/>
  <c r="E40"/>
  <c r="F39"/>
  <c r="E39"/>
  <c r="F38"/>
  <c r="E38"/>
  <c r="F37"/>
  <c r="E37"/>
  <c r="F36"/>
  <c r="E36"/>
  <c r="F35"/>
  <c r="E35"/>
  <c r="F34"/>
  <c r="E34"/>
  <c r="F33"/>
  <c r="E33"/>
  <c r="F31"/>
  <c r="E31"/>
  <c r="F30"/>
  <c r="E30"/>
  <c r="F29"/>
  <c r="E29"/>
  <c r="F28"/>
  <c r="E28"/>
  <c r="F27"/>
  <c r="E27"/>
  <c r="F26"/>
  <c r="E26"/>
  <c r="F25"/>
  <c r="E25"/>
  <c r="F24"/>
  <c r="E24"/>
  <c r="F23"/>
  <c r="E23"/>
  <c r="F22"/>
  <c r="E22"/>
  <c r="F21"/>
  <c r="E21"/>
  <c r="F20"/>
  <c r="E20"/>
  <c r="F19"/>
  <c r="E19"/>
  <c r="F18"/>
  <c r="E18"/>
  <c r="F17"/>
  <c r="E17"/>
  <c r="F15"/>
  <c r="E15"/>
  <c r="F14"/>
  <c r="E14"/>
  <c r="F13"/>
  <c r="E13"/>
  <c r="F12"/>
  <c r="E12"/>
  <c r="F11"/>
  <c r="E11"/>
  <c r="F10"/>
  <c r="E10"/>
  <c r="F9"/>
  <c r="E9"/>
  <c r="F8"/>
  <c r="E8"/>
  <c r="F7"/>
  <c r="E7"/>
  <c r="F6"/>
  <c r="E6"/>
  <c r="G62" i="2"/>
  <c r="C7" i="9" s="1"/>
  <c r="C10" s="1"/>
  <c r="F62" i="2"/>
  <c r="E62"/>
  <c r="D62"/>
  <c r="C62"/>
  <c r="F59"/>
  <c r="E59"/>
  <c r="F58"/>
  <c r="E58"/>
  <c r="F57"/>
  <c r="E57"/>
  <c r="F56"/>
  <c r="E56"/>
  <c r="F55"/>
  <c r="E55"/>
  <c r="F54"/>
  <c r="E54"/>
  <c r="F53"/>
  <c r="E53"/>
  <c r="F52"/>
  <c r="E52"/>
  <c r="F51"/>
  <c r="E51"/>
  <c r="F50"/>
  <c r="E50"/>
  <c r="F48"/>
  <c r="E48"/>
  <c r="F47"/>
  <c r="E47"/>
  <c r="F46"/>
  <c r="E46"/>
  <c r="F45"/>
  <c r="E45"/>
  <c r="F44"/>
  <c r="E44"/>
  <c r="F43"/>
  <c r="E43"/>
  <c r="F42"/>
  <c r="E42"/>
  <c r="F41"/>
  <c r="E41"/>
  <c r="F40"/>
  <c r="E40"/>
  <c r="F39"/>
  <c r="E39"/>
  <c r="F37"/>
  <c r="E37"/>
  <c r="F36"/>
  <c r="E36"/>
  <c r="F35"/>
  <c r="E35"/>
  <c r="F34"/>
  <c r="E34"/>
  <c r="F33"/>
  <c r="E33"/>
  <c r="F32"/>
  <c r="E32"/>
  <c r="F31"/>
  <c r="E31"/>
  <c r="F30"/>
  <c r="E30"/>
  <c r="F29"/>
  <c r="E29"/>
  <c r="F28"/>
  <c r="E28"/>
  <c r="F26"/>
  <c r="E26"/>
  <c r="F25"/>
  <c r="E25"/>
  <c r="F24"/>
  <c r="E24"/>
  <c r="F23"/>
  <c r="E23"/>
  <c r="F22"/>
  <c r="E22"/>
  <c r="F21"/>
  <c r="E21"/>
  <c r="F20"/>
  <c r="E20"/>
  <c r="F19"/>
  <c r="E19"/>
  <c r="F18"/>
  <c r="E18"/>
  <c r="F17"/>
  <c r="E17"/>
  <c r="F15"/>
  <c r="E15"/>
  <c r="F14"/>
  <c r="E14"/>
  <c r="F13"/>
  <c r="E13"/>
  <c r="F12"/>
  <c r="E12"/>
  <c r="F11"/>
  <c r="E11"/>
  <c r="F10"/>
  <c r="E10"/>
  <c r="F9"/>
  <c r="E9"/>
  <c r="F8"/>
  <c r="E8"/>
  <c r="F7"/>
  <c r="E7"/>
  <c r="F6"/>
  <c r="E6"/>
  <c r="F11" i="1"/>
  <c r="E11"/>
  <c r="H11" s="1"/>
  <c r="D11"/>
  <c r="G11" s="1"/>
  <c r="C11"/>
  <c r="F10"/>
  <c r="E10"/>
  <c r="H10" s="1"/>
  <c r="D10"/>
  <c r="G10" s="1"/>
  <c r="C10"/>
  <c r="F9"/>
  <c r="E9"/>
  <c r="H9" s="1"/>
  <c r="D9"/>
  <c r="C9"/>
  <c r="G9" s="1"/>
  <c r="F8"/>
  <c r="E8"/>
  <c r="H8" s="1"/>
  <c r="D8"/>
  <c r="C8"/>
  <c r="G8" s="1"/>
  <c r="F7"/>
  <c r="E7"/>
  <c r="H7" s="1"/>
  <c r="D7"/>
  <c r="C7"/>
  <c r="G7" s="1"/>
  <c r="F6"/>
  <c r="F12" s="1"/>
  <c r="E6"/>
  <c r="H6" s="1"/>
  <c r="D6"/>
  <c r="D12" s="1"/>
  <c r="C6"/>
  <c r="C12" s="1"/>
  <c r="G12" l="1"/>
  <c r="G6"/>
  <c r="C6" i="9"/>
  <c r="C9" s="1"/>
  <c r="E12" i="1"/>
  <c r="H12" s="1"/>
  <c r="C5" i="9"/>
  <c r="C8"/>
</calcChain>
</file>

<file path=xl/sharedStrings.xml><?xml version="1.0" encoding="utf-8"?>
<sst xmlns="http://schemas.openxmlformats.org/spreadsheetml/2006/main" count="2165" uniqueCount="942">
  <si>
    <t xml:space="preserve"> Voucher App - QA Testing Dashboard</t>
  </si>
  <si>
    <t>Scope: Browser-based UI/UX Testing  |  Version: 1.0  |  Last Updated: 20 April, 2026</t>
  </si>
  <si>
    <t>Section</t>
  </si>
  <si>
    <t>Total Tests</t>
  </si>
  <si>
    <t>Passed ✅</t>
  </si>
  <si>
    <t>Failed ❌</t>
  </si>
  <si>
    <t>Not Run ⬜</t>
  </si>
  <si>
    <t>Pass Rate</t>
  </si>
  <si>
    <t>Status</t>
  </si>
  <si>
    <t>1. UI/Visual Testing</t>
  </si>
  <si>
    <t>2. Functional Testing</t>
  </si>
  <si>
    <t>3. Responsive Testing</t>
  </si>
  <si>
    <t>4. Cross-Browser Testing</t>
  </si>
  <si>
    <t>5. Accessibility Testing</t>
  </si>
  <si>
    <t>6. Performance Testing</t>
  </si>
  <si>
    <t>GRAND TOTAL</t>
  </si>
  <si>
    <t>📋 PASS/FAIL CRITERIA</t>
  </si>
  <si>
    <t>✅ PASS</t>
  </si>
  <si>
    <t>All Critical tests pass + ≥ 95% total pass rate → Ready for Production</t>
  </si>
  <si>
    <t>⚠️ CONDITIONAL</t>
  </si>
  <si>
    <t>All Critical tests pass + ≥ 90% pass rate → Fix minor issues, deploy</t>
  </si>
  <si>
    <t>❌ FAIL</t>
  </si>
  <si>
    <t>Any Critical test fails OR &lt; 90% total pass rate → Fix and retest</t>
  </si>
  <si>
    <t>🔴🟡🟢🔵 PRIORITY DEFINITIONS</t>
  </si>
  <si>
    <t>🔴 Critical</t>
  </si>
  <si>
    <t>Blocks core functionality, security, data loss</t>
  </si>
  <si>
    <t>Must pass all</t>
  </si>
  <si>
    <t>🟡 High</t>
  </si>
  <si>
    <t>Major feature broken, workaround exists</t>
  </si>
  <si>
    <t>Should pass</t>
  </si>
  <si>
    <t>🟢 Medium</t>
  </si>
  <si>
    <t>Minor issue, cosmetic problem</t>
  </si>
  <si>
    <t>Nice to pass</t>
  </si>
  <si>
    <t>🔵 Low</t>
  </si>
  <si>
    <t>Enhancement, edge case</t>
  </si>
  <si>
    <t>Optional</t>
  </si>
  <si>
    <t xml:space="preserve">  1.UI Visual</t>
  </si>
  <si>
    <t xml:space="preserve">  Use dropdown in "Result" column: Pass / Fail / Not Run / Blocked</t>
  </si>
  <si>
    <t>Test ID</t>
  </si>
  <si>
    <t>Test Case Description</t>
  </si>
  <si>
    <t>Page / Component</t>
  </si>
  <si>
    <t>Priority</t>
  </si>
  <si>
    <t>Pass</t>
  </si>
  <si>
    <t>Fail</t>
  </si>
  <si>
    <t>Result</t>
  </si>
  <si>
    <t>Notes / Bug Reference</t>
  </si>
  <si>
    <t>Tester</t>
  </si>
  <si>
    <t>1.1 Layout &amp; Structure</t>
  </si>
  <si>
    <t>1.1.1</t>
  </si>
  <si>
    <t>Grid alignment consistent across all sections</t>
  </si>
  <si>
    <t>Homepage</t>
  </si>
  <si>
    <t>Subhendu</t>
  </si>
  <si>
    <t>1.1.2</t>
  </si>
  <si>
    <t>No horizontal scrollbar on desktop</t>
  </si>
  <si>
    <t>All pages</t>
  </si>
  <si>
    <t>1.1.3</t>
  </si>
  <si>
    <t>Proper spacing between elements (padding/margin)</t>
  </si>
  <si>
    <t>Register Page</t>
  </si>
  <si>
    <t>1.1.4</t>
  </si>
  <si>
    <t>Cards/components aligned properly</t>
  </si>
  <si>
    <t>Product/Voucher listing</t>
  </si>
  <si>
    <t>1.1.5</t>
  </si>
  <si>
    <t>Footer consistent across all pages</t>
  </si>
  <si>
    <t>Global</t>
  </si>
  <si>
    <t>1.1.6</t>
  </si>
  <si>
    <t>Navigation menu items properly spaced</t>
  </si>
  <si>
    <t>Header/Navbar</t>
  </si>
  <si>
    <t>1.1.7</t>
  </si>
  <si>
    <t>Sidebar navigation aligned (admin/customer)</t>
  </si>
  <si>
    <t>Dashboard</t>
  </si>
  <si>
    <t>1.1.8</t>
  </si>
  <si>
    <t>Modal dialogs centered properly</t>
  </si>
  <si>
    <t>All modals</t>
  </si>
  <si>
    <t>1.1.9</t>
  </si>
  <si>
    <t>Tables responsive with proper column widths</t>
  </si>
  <si>
    <t>Admin listings</t>
  </si>
  <si>
    <t>1.1.10</t>
  </si>
  <si>
    <t>No overlapping text or elements</t>
  </si>
  <si>
    <t>1.2 Colors &amp; Branding</t>
  </si>
  <si>
    <t>1.2.1</t>
  </si>
  <si>
    <t>Primary brand color consistent</t>
  </si>
  <si>
    <t>1.2.2</t>
  </si>
  <si>
    <t>Button colors follow design system</t>
  </si>
  <si>
    <t>All buttons</t>
  </si>
  <si>
    <t>1.2.3</t>
  </si>
  <si>
    <t>Link colors consistent (visited/hover/active)</t>
  </si>
  <si>
    <t>All links</t>
  </si>
  <si>
    <t>1.2.4</t>
  </si>
  <si>
    <t>Error messages in red (#dc2626 or similar)</t>
  </si>
  <si>
    <t>Forms</t>
  </si>
  <si>
    <t>1.2.5</t>
  </si>
  <si>
    <t>Success messages in green</t>
  </si>
  <si>
    <t>Notifications</t>
  </si>
  <si>
    <t>1.2.6</t>
  </si>
  <si>
    <t>Warning messages in yellow/orange</t>
  </si>
  <si>
    <t>1.2.7</t>
  </si>
  <si>
    <t>Background colors consistent</t>
  </si>
  <si>
    <t>1.2.8</t>
  </si>
  <si>
    <t>Logo displays correctly with proper colors</t>
  </si>
  <si>
    <t>Header</t>
  </si>
  <si>
    <t>1.2.9</t>
  </si>
  <si>
    <t>Gradient effects render smoothly</t>
  </si>
  <si>
    <t>Hero sections</t>
  </si>
  <si>
    <t>1.2.10</t>
  </si>
  <si>
    <t>Dark/Light mode colors correct (if applicable)</t>
  </si>
  <si>
    <t>Theme toggle</t>
  </si>
  <si>
    <t>1.3 Typography &amp; Fonts</t>
  </si>
  <si>
    <t>1.3.1</t>
  </si>
  <si>
    <t>Font family consistent across site</t>
  </si>
  <si>
    <t>1.3.2</t>
  </si>
  <si>
    <t>Heading hierarchy (H1–H6) proper sizes</t>
  </si>
  <si>
    <t>1.3.3</t>
  </si>
  <si>
    <t>Body text readable (minimum 14px)</t>
  </si>
  <si>
    <t>1.3.4</t>
  </si>
  <si>
    <t>Font weights correct (bold, regular, light)</t>
  </si>
  <si>
    <t>All text</t>
  </si>
  <si>
    <r>
      <rPr>
        <sz val="10"/>
        <color theme="1"/>
        <rFont val="Arial"/>
      </rPr>
      <t xml:space="preserve">Certain font weights on the </t>
    </r>
    <r>
      <rPr>
        <b/>
        <sz val="10"/>
        <color theme="1"/>
        <rFont val="Arial"/>
      </rPr>
      <t>registration page</t>
    </r>
    <r>
      <rPr>
        <sz val="10"/>
        <color theme="1"/>
        <rFont val="Arial"/>
      </rPr>
      <t xml:space="preserve"> are appearing bold and require adjustment for visual consistency.</t>
    </r>
  </si>
  <si>
    <t>1.3.5</t>
  </si>
  <si>
    <t>Line height comfortable for reading</t>
  </si>
  <si>
    <t>All text blocks</t>
  </si>
  <si>
    <t>1.3.6</t>
  </si>
  <si>
    <t>No text clipping or truncation issues</t>
  </si>
  <si>
    <t>Buttons/Labels</t>
  </si>
  <si>
    <t>1.3.7</t>
  </si>
  <si>
    <t>Special characters display correctly</t>
  </si>
  <si>
    <t>All languages</t>
  </si>
  <si>
    <t>1.3.8</t>
  </si>
  <si>
    <t>Arabic/Farsi text renders RTL correctly</t>
  </si>
  <si>
    <t>Arabic pages</t>
  </si>
  <si>
    <t>1.3.9</t>
  </si>
  <si>
    <t>Spanish characters (ñ, á, é) display correctly</t>
  </si>
  <si>
    <t>Spanish pages</t>
  </si>
  <si>
    <t>1.3.10</t>
  </si>
  <si>
    <t>Custom fonts load without FOUT/FOIT</t>
  </si>
  <si>
    <t>1.4 Images &amp; Icons</t>
  </si>
  <si>
    <t>1.4.1</t>
  </si>
  <si>
    <t>Logo displays without distortion</t>
  </si>
  <si>
    <t>1.4.2</t>
  </si>
  <si>
    <t>Product images load correctly</t>
  </si>
  <si>
    <t>Product listing</t>
  </si>
  <si>
    <t>1.4.3</t>
  </si>
  <si>
    <t>Images have proper aspect ratios</t>
  </si>
  <si>
    <t>All images</t>
  </si>
  <si>
    <t>1.4.4</t>
  </si>
  <si>
    <t>Icons render correctly (FontAwesome)</t>
  </si>
  <si>
    <t>All icons</t>
  </si>
  <si>
    <t>1.4.5</t>
  </si>
  <si>
    <t>Icon sizes consistent throughout</t>
  </si>
  <si>
    <t>1.4.6</t>
  </si>
  <si>
    <t>Image alt text present</t>
  </si>
  <si>
    <t>1.4.7</t>
  </si>
  <si>
    <t>Lazy loading works on image lists</t>
  </si>
  <si>
    <t>Product grids</t>
  </si>
  <si>
    <t>1.4.8</t>
  </si>
  <si>
    <t>Broken images show fallback</t>
  </si>
  <si>
    <t>Error handling</t>
  </si>
  <si>
    <t>Broken images are appearing in the Enterprise Pricing Plan, Customer Reviews, Page &amp; Content Builder (Features) and dashboard logos across all roles, requiring a proper fallback implementation.</t>
  </si>
  <si>
    <t>1.4.9</t>
  </si>
  <si>
    <t>Background images scale properly</t>
  </si>
  <si>
    <t>1.4.10</t>
  </si>
  <si>
    <t>QR codes generate and display clearly</t>
  </si>
  <si>
    <t>Voucher codes</t>
  </si>
  <si>
    <t>Not Run</t>
  </si>
  <si>
    <t>1.5 Animations &amp; Transitions</t>
  </si>
  <si>
    <t>1.5.1</t>
  </si>
  <si>
    <t>Button hover effects smooth</t>
  </si>
  <si>
    <t>1.5.2</t>
  </si>
  <si>
    <t>Link hover effects present</t>
  </si>
  <si>
    <t>1.5.3</t>
  </si>
  <si>
    <t>Dropdown menus animate smoothly</t>
  </si>
  <si>
    <t>Navigation</t>
  </si>
  <si>
    <t>Navigation menus across all dashboards (Super Admin, Owner, Staff) remain expanded and fail to collapse after opening sub-menus.</t>
  </si>
  <si>
    <t>1.5.4</t>
  </si>
  <si>
    <t>Modal open/close animations</t>
  </si>
  <si>
    <t>1.5.5</t>
  </si>
  <si>
    <t>Loading spinners display correctly</t>
  </si>
  <si>
    <t>Async actions</t>
  </si>
  <si>
    <t>1.5.6</t>
  </si>
  <si>
    <t>Toast notifications slide in/out</t>
  </si>
  <si>
    <t>1.5.7</t>
  </si>
  <si>
    <t>Form validation animations</t>
  </si>
  <si>
    <t>Form fields</t>
  </si>
  <si>
    <t>1.5.8</t>
  </si>
  <si>
    <t>Page transitions smooth</t>
  </si>
  <si>
    <t>1.5.9</t>
  </si>
  <si>
    <t>Wheel spin animation works</t>
  </si>
  <si>
    <t>Wheel popup</t>
  </si>
  <si>
    <t>The Wheel Spin popup fails to trigger automatically upon page load as intended.</t>
  </si>
  <si>
    <t>1.5.10</t>
  </si>
  <si>
    <t>No janky or stuttering animations</t>
  </si>
  <si>
    <t>All animations</t>
  </si>
  <si>
    <t>📊 Section Summary</t>
  </si>
  <si>
    <t>Total</t>
  </si>
  <si>
    <t>Passed</t>
  </si>
  <si>
    <t>Failed</t>
  </si>
  <si>
    <t xml:space="preserve">  2.Functional</t>
  </si>
  <si>
    <t>2.1 Navigation &amp; Routing</t>
  </si>
  <si>
    <t>2.1.1</t>
  </si>
  <si>
    <t>Logo click redirects to homepage</t>
  </si>
  <si>
    <t>2.1.2</t>
  </si>
  <si>
    <t>Main navigation links work</t>
  </si>
  <si>
    <t>2.1.3</t>
  </si>
  <si>
    <t>Footer links functional</t>
  </si>
  <si>
    <t>Footer</t>
  </si>
  <si>
    <r>
      <rPr>
        <sz val="10"/>
        <color theme="1"/>
        <rFont val="Arial"/>
      </rPr>
      <t>The</t>
    </r>
    <r>
      <rPr>
        <b/>
        <sz val="10"/>
        <color rgb="FFFF0000"/>
        <rFont val="Arial"/>
      </rPr>
      <t xml:space="preserve"> newsletter subscription</t>
    </r>
    <r>
      <rPr>
        <sz val="10"/>
        <color theme="1"/>
        <rFont val="Arial"/>
      </rPr>
      <t xml:space="preserve"> field is non-functional and fails to process or send email submissions.</t>
    </r>
  </si>
  <si>
    <t>2.1.4</t>
  </si>
  <si>
    <t>Breadcrumbs navigate correctly</t>
  </si>
  <si>
    <t>2.1.5</t>
  </si>
  <si>
    <t>Back button works as expected</t>
  </si>
  <si>
    <t>Browser</t>
  </si>
  <si>
    <t>2.1.6</t>
  </si>
  <si>
    <t>404 page displays for invalid URLs</t>
  </si>
  <si>
    <t>Error pages</t>
  </si>
  <si>
    <t>2.1.7</t>
  </si>
  <si>
    <t>Admin sidebar navigation works</t>
  </si>
  <si>
    <t>Admin panel</t>
  </si>
  <si>
    <r>
      <rPr>
        <sz val="10"/>
        <color theme="1"/>
        <rFont val="Arial"/>
      </rPr>
      <t>Navigation menus across all dashboards</t>
    </r>
    <r>
      <rPr>
        <b/>
        <sz val="10"/>
        <color rgb="FFFF0000"/>
        <rFont val="Arial"/>
      </rPr>
      <t xml:space="preserve"> (Super Admin, Owner, Staff) </t>
    </r>
    <r>
      <rPr>
        <sz val="10"/>
        <color theme="1"/>
        <rFont val="Arial"/>
      </rPr>
      <t>remain expanded and fail to collapse after</t>
    </r>
    <r>
      <rPr>
        <b/>
        <sz val="10"/>
        <color rgb="FFFF0000"/>
        <rFont val="Arial"/>
      </rPr>
      <t xml:space="preserve"> opening sub-menus.</t>
    </r>
  </si>
  <si>
    <t>2.1.8</t>
  </si>
  <si>
    <t>Customer portal navigation works</t>
  </si>
  <si>
    <t>Customer panel</t>
  </si>
  <si>
    <r>
      <rPr>
        <sz val="10"/>
        <color theme="1"/>
        <rFont val="Arial"/>
      </rPr>
      <t>Navigation menus across all dashboards</t>
    </r>
    <r>
      <rPr>
        <b/>
        <sz val="10"/>
        <color rgb="FFFF0000"/>
        <rFont val="Arial"/>
      </rPr>
      <t xml:space="preserve"> (Super Admin, Owner, Staff) </t>
    </r>
    <r>
      <rPr>
        <sz val="10"/>
        <color theme="1"/>
        <rFont val="Arial"/>
      </rPr>
      <t>remain expanded and fail to collapse after</t>
    </r>
    <r>
      <rPr>
        <b/>
        <sz val="10"/>
        <color rgb="FFFF0000"/>
        <rFont val="Arial"/>
      </rPr>
      <t xml:space="preserve"> opening sub-menus.</t>
    </r>
  </si>
  <si>
    <t>2.1.9</t>
  </si>
  <si>
    <t>Language switcher changes pages</t>
  </si>
  <si>
    <t>Language dropdown</t>
  </si>
  <si>
    <t>2.1.10</t>
  </si>
  <si>
    <t>Currency switcher updates prices</t>
  </si>
  <si>
    <t>Currency dropdown</t>
  </si>
  <si>
    <t>2.2 Forms &amp; Input Fields</t>
  </si>
  <si>
    <t>2.2.1</t>
  </si>
  <si>
    <t>Login form validates email format</t>
  </si>
  <si>
    <t>Login page</t>
  </si>
  <si>
    <t>2.2.2</t>
  </si>
  <si>
    <t>Login form validates password required</t>
  </si>
  <si>
    <t>2.2.3</t>
  </si>
  <si>
    <t>Login form shows errors for invalid credentials</t>
  </si>
  <si>
    <t>2.2.4</t>
  </si>
  <si>
    <t>Registration form validates all fields</t>
  </si>
  <si>
    <t>Register page</t>
  </si>
  <si>
    <r>
      <rPr>
        <b/>
        <sz val="10"/>
        <color theme="1"/>
        <rFont val="Arial"/>
      </rPr>
      <t>Missing mandatory validation</t>
    </r>
    <r>
      <rPr>
        <sz val="10"/>
        <color theme="1"/>
        <rFont val="Arial"/>
      </rPr>
      <t xml:space="preserve"> for the </t>
    </r>
    <r>
      <rPr>
        <b/>
        <sz val="10"/>
        <color rgb="FFFF0000"/>
        <rFont val="Arial"/>
      </rPr>
      <t xml:space="preserve">phone number </t>
    </r>
    <r>
      <rPr>
        <sz val="10"/>
        <color theme="1"/>
        <rFont val="Arial"/>
      </rPr>
      <t>field.</t>
    </r>
  </si>
  <si>
    <t>2.2.5</t>
  </si>
  <si>
    <t>Registration form checks email uniqueness</t>
  </si>
  <si>
    <t>2.2.6</t>
  </si>
  <si>
    <t>Registration form password strength indicator</t>
  </si>
  <si>
    <r>
      <rPr>
        <sz val="10"/>
        <color theme="1"/>
        <rFont val="Arial"/>
      </rPr>
      <t xml:space="preserve">Missing </t>
    </r>
    <r>
      <rPr>
        <b/>
        <sz val="10"/>
        <color rgb="FFFF0000"/>
        <rFont val="Arial"/>
      </rPr>
      <t>password strength indicator</t>
    </r>
    <r>
      <rPr>
        <sz val="10"/>
        <color theme="1"/>
        <rFont val="Arial"/>
      </rPr>
      <t xml:space="preserve"> in the </t>
    </r>
    <r>
      <rPr>
        <b/>
        <sz val="10"/>
        <color theme="1"/>
        <rFont val="Arial"/>
      </rPr>
      <t>registration form.</t>
    </r>
  </si>
  <si>
    <t>2.2.7</t>
  </si>
  <si>
    <t>Password visibility toggle (eye icon) works</t>
  </si>
  <si>
    <t>All password fields</t>
  </si>
  <si>
    <t>2.2.8</t>
  </si>
  <si>
    <t>Email settings password field optional</t>
  </si>
  <si>
    <t>Admin Email Settings</t>
  </si>
  <si>
    <t>Password updates without validation and lacks success notification.</t>
  </si>
  <si>
    <t>2.2.9</t>
  </si>
  <si>
    <t>Form auto-focus on first field</t>
  </si>
  <si>
    <t>All forms</t>
  </si>
  <si>
    <t>First input field fails to auto-focus upon form or page load.</t>
  </si>
  <si>
    <t>2.2.10</t>
  </si>
  <si>
    <r>
      <rPr>
        <b/>
        <sz val="10"/>
        <color theme="1"/>
        <rFont val="Arial"/>
      </rPr>
      <t xml:space="preserve">Tab order </t>
    </r>
    <r>
      <rPr>
        <sz val="10"/>
        <color theme="1"/>
        <rFont val="Arial"/>
      </rPr>
      <t>logical through form</t>
    </r>
  </si>
  <si>
    <t>2.2.11</t>
  </si>
  <si>
    <t>Required fields marked with asterisk</t>
  </si>
  <si>
    <t>Missing mandatory asterisks (*) for required input fields.</t>
  </si>
  <si>
    <t>2.2.12</t>
  </si>
  <si>
    <t>Validation errors display inline</t>
  </si>
  <si>
    <t>2.2.13</t>
  </si>
  <si>
    <t>Form submission shows loading state</t>
  </si>
  <si>
    <t>2.2.14</t>
  </si>
  <si>
    <t>Success messages display after submit</t>
  </si>
  <si>
    <t>2.2.15</t>
  </si>
  <si>
    <t>Form data persists on validation error</t>
  </si>
  <si>
    <t>2.3 Buttons &amp; Actions</t>
  </si>
  <si>
    <t>2.3.1</t>
  </si>
  <si>
    <t>Primary buttons visually distinct</t>
  </si>
  <si>
    <t>2.3.2</t>
  </si>
  <si>
    <t>Button click shows loading state</t>
  </si>
  <si>
    <t>2.3.3</t>
  </si>
  <si>
    <t>Disabled buttons not clickable</t>
  </si>
  <si>
    <t>All disabled states</t>
  </si>
  <si>
    <t>2.3.4</t>
  </si>
  <si>
    <t>Delete actions show confirmation</t>
  </si>
  <si>
    <t>All delete buttons</t>
  </si>
  <si>
    <t>2.3.5</t>
  </si>
  <si>
    <t>Save buttons provide feedback</t>
  </si>
  <si>
    <t>2.3.6</t>
  </si>
  <si>
    <t>Cancel buttons return to previous page</t>
  </si>
  <si>
    <t>2.3.7</t>
  </si>
  <si>
    <t>Test Email button sends test email</t>
  </si>
  <si>
    <t>Email Settings</t>
  </si>
  <si>
    <t>2.3.8</t>
  </si>
  <si>
    <t>Add to Cart button updates cart count</t>
  </si>
  <si>
    <t>Product pages</t>
  </si>
  <si>
    <t>2.3.9</t>
  </si>
  <si>
    <t>Checkout button proceeds to payment</t>
  </si>
  <si>
    <t>Cart page</t>
  </si>
  <si>
    <t>Internal Server Error</t>
  </si>
  <si>
    <t>2.3.10</t>
  </si>
  <si>
    <t>Export/Download buttons generate files</t>
  </si>
  <si>
    <t>Admin panels</t>
  </si>
  <si>
    <t>Export/Download functionality is not implemented in the Admin panel.</t>
  </si>
  <si>
    <t>2.4 Shopping Cart &amp; Checkout</t>
  </si>
  <si>
    <t>2.4.1</t>
  </si>
  <si>
    <t>Add to Cart from product listing</t>
  </si>
  <si>
    <t>Product grid</t>
  </si>
  <si>
    <t>2.4.2</t>
  </si>
  <si>
    <t>Add to Cart from product detail</t>
  </si>
  <si>
    <t>Product page</t>
  </si>
  <si>
    <t>2.4.3</t>
  </si>
  <si>
    <t>Cart count updates in header</t>
  </si>
  <si>
    <t>Global header</t>
  </si>
  <si>
    <t>2.4.4</t>
  </si>
  <si>
    <t>Cart page shows all added items</t>
  </si>
  <si>
    <t>2.4.5</t>
  </si>
  <si>
    <t>Quantity update recalculates total</t>
  </si>
  <si>
    <t>2.4.6</t>
  </si>
  <si>
    <t>Remove item from cart works</t>
  </si>
  <si>
    <t>2.4.7</t>
  </si>
  <si>
    <t>Empty cart shows appropriate message</t>
  </si>
  <si>
    <t>2.4.8</t>
  </si>
  <si>
    <t>Promo code apply shows discount</t>
  </si>
  <si>
    <t>Cart/Checkout</t>
  </si>
  <si>
    <r>
      <rPr>
        <b/>
        <sz val="10"/>
        <color rgb="FFFF0000"/>
        <rFont val="Arial"/>
      </rPr>
      <t>Promo code application fails</t>
    </r>
    <r>
      <rPr>
        <sz val="10"/>
        <color theme="1"/>
        <rFont val="Arial"/>
      </rPr>
      <t xml:space="preserve"> with a backend fatal error: "Call to undefined method applyToOrder()</t>
    </r>
  </si>
  <si>
    <t>2.4.9</t>
  </si>
  <si>
    <t>Invalid promo code shows error</t>
  </si>
  <si>
    <r>
      <rPr>
        <b/>
        <sz val="10"/>
        <color rgb="FFFF0000"/>
        <rFont val="Arial"/>
      </rPr>
      <t>Promo code application fails</t>
    </r>
    <r>
      <rPr>
        <sz val="10"/>
        <color theme="1"/>
        <rFont val="Arial"/>
      </rPr>
      <t xml:space="preserve"> with a backend fatal error: "Call to undefined method applyToOrder()</t>
    </r>
  </si>
  <si>
    <t>2.4.10</t>
  </si>
  <si>
    <t>Checkout form validates all fields</t>
  </si>
  <si>
    <t>Checkout page</t>
  </si>
  <si>
    <t>2.4.11</t>
  </si>
  <si>
    <t>Order summary accurate</t>
  </si>
  <si>
    <t>2.4.12</t>
  </si>
  <si>
    <t>Payment gateway redirects correctly</t>
  </si>
  <si>
    <t>Payment page</t>
  </si>
  <si>
    <t>2.4.13</t>
  </si>
  <si>
    <t>Order success page displays</t>
  </si>
  <si>
    <t>Order confirmation</t>
  </si>
  <si>
    <t>2.4.14</t>
  </si>
  <si>
    <t>Voucher codes displayed after purchase</t>
  </si>
  <si>
    <t>2.4.15</t>
  </si>
  <si>
    <t>Email confirmation received</t>
  </si>
  <si>
    <t>Email inbox</t>
  </si>
  <si>
    <t>2.5 Search &amp; Filtering</t>
  </si>
  <si>
    <t>2.5.1</t>
  </si>
  <si>
    <t>Search bar accepts input</t>
  </si>
  <si>
    <t>2.5.2</t>
  </si>
  <si>
    <t>Search returns relevant results</t>
  </si>
  <si>
    <t>Search results</t>
  </si>
  <si>
    <t>2.5.3</t>
  </si>
  <si>
    <t>Empty search shows all or hint</t>
  </si>
  <si>
    <t>Search</t>
  </si>
  <si>
    <t>2.5.4</t>
  </si>
  <si>
    <t>Category filter works</t>
  </si>
  <si>
    <t>2.5.5</t>
  </si>
  <si>
    <t>Price range filter works</t>
  </si>
  <si>
    <t>Missing price range filter functionality.</t>
  </si>
  <si>
    <t>2.5.6</t>
  </si>
  <si>
    <t>Sort by (price, name, date) works</t>
  </si>
  <si>
    <r>
      <rPr>
        <sz val="10"/>
        <color theme="1"/>
        <rFont val="Arial"/>
      </rPr>
      <t>Missing</t>
    </r>
    <r>
      <rPr>
        <b/>
        <sz val="10"/>
        <color theme="1"/>
        <rFont val="Arial"/>
      </rPr>
      <t xml:space="preserve"> Name</t>
    </r>
    <r>
      <rPr>
        <sz val="10"/>
        <color theme="1"/>
        <rFont val="Arial"/>
      </rPr>
      <t xml:space="preserve"> and </t>
    </r>
    <r>
      <rPr>
        <b/>
        <sz val="10"/>
        <color theme="1"/>
        <rFont val="Arial"/>
      </rPr>
      <t>Date</t>
    </r>
    <r>
      <rPr>
        <sz val="10"/>
        <color theme="1"/>
        <rFont val="Arial"/>
      </rPr>
      <t xml:space="preserve"> sorting options in the </t>
    </r>
    <r>
      <rPr>
        <b/>
        <sz val="10"/>
        <color theme="1"/>
        <rFont val="Arial"/>
      </rPr>
      <t>Sort by filter</t>
    </r>
    <r>
      <rPr>
        <sz val="10"/>
        <color theme="1"/>
        <rFont val="Arial"/>
      </rPr>
      <t>.</t>
    </r>
  </si>
  <si>
    <t>2.5.7</t>
  </si>
  <si>
    <t>Multiple filters combine correctly</t>
  </si>
  <si>
    <t>Navigation filters (New Vouchers, Popular, Ending Soon) are non-functional and fail to filter results.</t>
  </si>
  <si>
    <t>2.5.8</t>
  </si>
  <si>
    <t>Clear filters button resets all</t>
  </si>
  <si>
    <t>2.5.9</t>
  </si>
  <si>
    <t>Search results pagination works</t>
  </si>
  <si>
    <t>2.5.10</t>
  </si>
  <si>
    <t>No results message displays</t>
  </si>
  <si>
    <t>Empty results</t>
  </si>
  <si>
    <t>2.6 User Account &amp; Profile</t>
  </si>
  <si>
    <t>2.6.1</t>
  </si>
  <si>
    <t>Login redirects to dashboard</t>
  </si>
  <si>
    <t>2.6.2</t>
  </si>
  <si>
    <t>Logout clears session</t>
  </si>
  <si>
    <t>2.6.3</t>
  </si>
  <si>
    <t>Profile edit saves changes</t>
  </si>
  <si>
    <t>Profile page</t>
  </si>
  <si>
    <t>2.6.4</t>
  </si>
  <si>
    <t>Password change works</t>
  </si>
  <si>
    <t>Profile/Security</t>
  </si>
  <si>
    <t>2.6.5</t>
  </si>
  <si>
    <t>Order history displays correctly</t>
  </si>
  <si>
    <t>Customer portal</t>
  </si>
  <si>
    <t>2.6.6</t>
  </si>
  <si>
    <t>Voucher codes accessible</t>
  </si>
  <si>
    <t>2.6.7</t>
  </si>
  <si>
    <t>Support tickets CRUD works</t>
  </si>
  <si>
    <r>
      <rPr>
        <sz val="10"/>
        <color theme="1"/>
        <rFont val="Arial"/>
      </rPr>
      <t>The</t>
    </r>
    <r>
      <rPr>
        <b/>
        <sz val="10"/>
        <color theme="1"/>
        <rFont val="Arial"/>
      </rPr>
      <t xml:space="preserve"> "Close" button</t>
    </r>
    <r>
      <rPr>
        <sz val="10"/>
        <color theme="1"/>
        <rFont val="Arial"/>
      </rPr>
      <t xml:space="preserve"> for support tickets is </t>
    </r>
    <r>
      <rPr>
        <b/>
        <sz val="10"/>
        <color theme="1"/>
        <rFont val="Arial"/>
      </rPr>
      <t>non-functional,</t>
    </r>
    <r>
      <rPr>
        <sz val="10"/>
        <color theme="1"/>
        <rFont val="Arial"/>
      </rPr>
      <t xml:space="preserve"> preventing the finalization of ticket status.</t>
    </r>
  </si>
  <si>
    <t>2.6.8</t>
  </si>
  <si>
    <t>GDPR data export downloads</t>
  </si>
  <si>
    <t>Settings</t>
  </si>
  <si>
    <t>2.6.9</t>
  </si>
  <si>
    <t>Account deletion request works</t>
  </si>
  <si>
    <t>2.6.10</t>
  </si>
  <si>
    <t>Email verification flow works</t>
  </si>
  <si>
    <t>Registration</t>
  </si>
  <si>
    <r>
      <rPr>
        <sz val="10"/>
        <color theme="1"/>
        <rFont val="Arial"/>
      </rPr>
      <t xml:space="preserve">Registration flow is </t>
    </r>
    <r>
      <rPr>
        <b/>
        <sz val="10"/>
        <color rgb="FFFF0000"/>
        <rFont val="Arial"/>
      </rPr>
      <t>incomplete</t>
    </r>
    <r>
      <rPr>
        <sz val="10"/>
        <color theme="1"/>
        <rFont val="Arial"/>
      </rPr>
      <t xml:space="preserve"> due to missing</t>
    </r>
    <r>
      <rPr>
        <b/>
        <sz val="10"/>
        <color theme="1"/>
        <rFont val="Arial"/>
      </rPr>
      <t xml:space="preserve"> </t>
    </r>
    <r>
      <rPr>
        <b/>
        <sz val="10"/>
        <color rgb="FFFF0000"/>
        <rFont val="Arial"/>
      </rPr>
      <t>email verification logic.</t>
    </r>
  </si>
  <si>
    <t>2.7 Admin Panel Functions</t>
  </si>
  <si>
    <t>2.7.1</t>
  </si>
  <si>
    <t>Dashboard stats display correctly</t>
  </si>
  <si>
    <t>Admin Dashboard</t>
  </si>
  <si>
    <t>2.7.2</t>
  </si>
  <si>
    <t>User management CRUD works</t>
  </si>
  <si>
    <t>User Management</t>
  </si>
  <si>
    <t>2.7.3</t>
  </si>
  <si>
    <t>Business management CRUD works</t>
  </si>
  <si>
    <t>Business Module</t>
  </si>
  <si>
    <t>2.7.4</t>
  </si>
  <si>
    <t>Product/Voucher CRUD works</t>
  </si>
  <si>
    <t>Product Module</t>
  </si>
  <si>
    <t>2.7.5</t>
  </si>
  <si>
    <t>Order management works</t>
  </si>
  <si>
    <t>Order Module</t>
  </si>
  <si>
    <t>2.7.6</t>
  </si>
  <si>
    <t>Payment gateway config works</t>
  </si>
  <si>
    <t>Payment Module</t>
  </si>
  <si>
    <t>2.7.7</t>
  </si>
  <si>
    <t>Email settings test works</t>
  </si>
  <si>
    <t>Communication Module</t>
  </si>
  <si>
    <t>2.7.8</t>
  </si>
  <si>
    <t>Content management CRUD works</t>
  </si>
  <si>
    <t>Content Module</t>
  </si>
  <si>
    <t>2.7.9</t>
  </si>
  <si>
    <t>Review moderation works</t>
  </si>
  <si>
    <t>Review Module</t>
  </si>
  <si>
    <t>2.7.10</t>
  </si>
  <si>
    <t>System utilities (cache, backup) work</t>
  </si>
  <si>
    <t>Core Module</t>
  </si>
  <si>
    <t>2.8 Real-time Features</t>
  </si>
  <si>
    <t>2.8.1</t>
  </si>
  <si>
    <t>Support chat messages send/receive</t>
  </si>
  <si>
    <t>Support chat</t>
  </si>
  <si>
    <t>2.8.2</t>
  </si>
  <si>
    <t>Chat shows online/offline status</t>
  </si>
  <si>
    <t>2.8.3</t>
  </si>
  <si>
    <t>Typing indicators display</t>
  </si>
  <si>
    <t>2.8.4</t>
  </si>
  <si>
    <t>Notifications appear in real-time</t>
  </si>
  <si>
    <t>Notification bell</t>
  </si>
  <si>
    <t>2.8.5</t>
  </si>
  <si>
    <t>AI suggestions appear in chat</t>
  </si>
  <si>
    <t>2.8.6</t>
  </si>
  <si>
    <t>Wheel spin result instant</t>
  </si>
  <si>
    <t>2.9 Error Handling</t>
  </si>
  <si>
    <t>2.9.1</t>
  </si>
  <si>
    <t>404 page displays for missing pages</t>
  </si>
  <si>
    <t>2.9.2</t>
  </si>
  <si>
    <t>500 page displays for server errors</t>
  </si>
  <si>
    <t>2.9.3</t>
  </si>
  <si>
    <t>Network error shows user-friendly message</t>
  </si>
  <si>
    <t>2.9.4</t>
  </si>
  <si>
    <t>Session timeout redirects to login</t>
  </si>
  <si>
    <t>Auth pages</t>
  </si>
  <si>
    <t>2.9.5</t>
  </si>
  <si>
    <t>Permission denied shows appropriate message</t>
  </si>
  <si>
    <t>Protected pages</t>
  </si>
  <si>
    <t>2.9.6</t>
  </si>
  <si>
    <t>Form validation errors clear on fix</t>
  </si>
  <si>
    <t>2.9.7</t>
  </si>
  <si>
    <t>Payment failure shows retry option</t>
  </si>
  <si>
    <t>Checkout</t>
  </si>
  <si>
    <t xml:space="preserve">  3.Responsive</t>
  </si>
  <si>
    <t>3.1 Mobile Devices (&lt; 768px)</t>
  </si>
  <si>
    <t>3.1.1</t>
  </si>
  <si>
    <t>Homepage layout adapts</t>
  </si>
  <si>
    <t>iPhone SE (375px)</t>
  </si>
  <si>
    <t>3.1.2</t>
  </si>
  <si>
    <t>Navigation collapses to hamburger</t>
  </si>
  <si>
    <t>3.1.3</t>
  </si>
  <si>
    <t>Product grid single column</t>
  </si>
  <si>
    <t>3.1.4</t>
  </si>
  <si>
    <t>Forms stack vertically</t>
  </si>
  <si>
    <t>3.1.5</t>
  </si>
  <si>
    <t>Tables scroll horizontally or stack</t>
  </si>
  <si>
    <t>Admin tables</t>
  </si>
  <si>
    <t>3.1.6</t>
  </si>
  <si>
    <t>Buttons full width or touch-friendly</t>
  </si>
  <si>
    <t>3.1.7</t>
  </si>
  <si>
    <t>Text readable without zoom</t>
  </si>
  <si>
    <t>3.1.8</t>
  </si>
  <si>
    <t>Images scale properly</t>
  </si>
  <si>
    <t>3.1.9</t>
  </si>
  <si>
    <t>Cart icon accessible</t>
  </si>
  <si>
    <t>Cart icon is hidden in the mobile header and only accessible via the hamburger menu.</t>
  </si>
  <si>
    <t>3.1.10</t>
  </si>
  <si>
    <t>Checkout flow usable</t>
  </si>
  <si>
    <t>3.1.11</t>
  </si>
  <si>
    <t>Admin sidebar collapsible</t>
  </si>
  <si>
    <t>Logout option is missing or hidden in the Admin Dashboard.</t>
  </si>
  <si>
    <t>3.1.12</t>
  </si>
  <si>
    <t>Modal dialogs fit screen</t>
  </si>
  <si>
    <t>3.1.13</t>
  </si>
  <si>
    <t>Footer stacks properly</t>
  </si>
  <si>
    <t>3.1.14</t>
  </si>
  <si>
    <t>Touch targets minimum 44×44px</t>
  </si>
  <si>
    <t>All interactive</t>
  </si>
  <si>
    <t>3.1.15</t>
  </si>
  <si>
    <t>No horizontal scroll on mobile</t>
  </si>
  <si>
    <t>Horizontal scroll issue on mobile devices</t>
  </si>
  <si>
    <t>3.2 Tablet Devices (768px – 1024px)</t>
  </si>
  <si>
    <t>3.2.1</t>
  </si>
  <si>
    <t>iPad (768px)</t>
  </si>
  <si>
    <t>3.2.2</t>
  </si>
  <si>
    <t>Navigation appropriate for tablet</t>
  </si>
  <si>
    <t>3.2.3</t>
  </si>
  <si>
    <t>Product grid 2 columns</t>
  </si>
  <si>
    <r>
      <rPr>
        <sz val="10"/>
        <color theme="1"/>
        <rFont val="Arial"/>
      </rPr>
      <t xml:space="preserve">Product grid layout on Tablet </t>
    </r>
    <r>
      <rPr>
        <b/>
        <sz val="10"/>
        <color rgb="FFFF0000"/>
        <rFont val="Arial"/>
      </rPr>
      <t>fails to display in 2 columns.</t>
    </r>
  </si>
  <si>
    <t>3.2.4</t>
  </si>
  <si>
    <t>Forms 2-column where appropriate</t>
  </si>
  <si>
    <r>
      <rPr>
        <b/>
        <sz val="10"/>
        <color rgb="FFFF0000"/>
        <rFont val="Arial"/>
      </rPr>
      <t>Forms fail to adapt to a 2-column</t>
    </r>
    <r>
      <rPr>
        <sz val="10"/>
        <color theme="1"/>
        <rFont val="Arial"/>
      </rPr>
      <t xml:space="preserve"> layout on Tablet devices.</t>
    </r>
  </si>
  <si>
    <t>3.2.5</t>
  </si>
  <si>
    <t>Tables readable</t>
  </si>
  <si>
    <t>3.2.6</t>
  </si>
  <si>
    <t>Dashboard widgets stack properly</t>
  </si>
  <si>
    <t>3.2.7</t>
  </si>
  <si>
    <t>Sidebar navigation usable</t>
  </si>
  <si>
    <t>Admin/Customer</t>
  </si>
  <si>
    <t>3.2.8</t>
  </si>
  <si>
    <t>Images medium size</t>
  </si>
  <si>
    <t>3.2.9</t>
  </si>
  <si>
    <t>Modals centered properly</t>
  </si>
  <si>
    <t>3.2.10</t>
  </si>
  <si>
    <t>Footer 2–3 columns</t>
  </si>
  <si>
    <r>
      <rPr>
        <sz val="10"/>
        <color theme="1"/>
        <rFont val="Arial"/>
      </rPr>
      <t xml:space="preserve">Footer </t>
    </r>
    <r>
      <rPr>
        <b/>
        <sz val="10"/>
        <color theme="1"/>
        <rFont val="Arial"/>
      </rPr>
      <t>layout fails to utilize multi-column grid</t>
    </r>
    <r>
      <rPr>
        <sz val="10"/>
        <color theme="1"/>
        <rFont val="Arial"/>
      </rPr>
      <t xml:space="preserve"> on Tablet/Desktop.</t>
    </r>
  </si>
  <si>
    <t>3.3 Desktop Devices (&gt; 1024px)</t>
  </si>
  <si>
    <t>3.3.1</t>
  </si>
  <si>
    <t>Homepage full layout</t>
  </si>
  <si>
    <t>1366×768</t>
  </si>
  <si>
    <t>3.3.2</t>
  </si>
  <si>
    <t>Navigation full horizontal</t>
  </si>
  <si>
    <t>3.3.3</t>
  </si>
  <si>
    <t>Product grid 3–4 columns</t>
  </si>
  <si>
    <t>3.3.4</t>
  </si>
  <si>
    <t>Forms multi-column</t>
  </si>
  <si>
    <t>3.3.5</t>
  </si>
  <si>
    <t>Tables full width</t>
  </si>
  <si>
    <t>3.3.6</t>
  </si>
  <si>
    <t>Dashboard widgets grid</t>
  </si>
  <si>
    <t>3.3.7</t>
  </si>
  <si>
    <t>Sidebar + content layout</t>
  </si>
  <si>
    <t>3.3.8</t>
  </si>
  <si>
    <t>Images large/high-res</t>
  </si>
  <si>
    <t>3.3.9</t>
  </si>
  <si>
    <t>Modals with backdrop</t>
  </si>
  <si>
    <t>3.3.10</t>
  </si>
  <si>
    <t>Footer full columns</t>
  </si>
  <si>
    <t>3.3.11</t>
  </si>
  <si>
    <t>Layout on large screens</t>
  </si>
  <si>
    <t>1920×1080</t>
  </si>
  <si>
    <t>3.3.12</t>
  </si>
  <si>
    <t>No excessive white space</t>
  </si>
  <si>
    <t>3.4 Orientation Testing</t>
  </si>
  <si>
    <t>3.4.1</t>
  </si>
  <si>
    <t>Mobile portrait mode</t>
  </si>
  <si>
    <t>Mobile</t>
  </si>
  <si>
    <t>3.4.2</t>
  </si>
  <si>
    <t>Mobile landscape mode</t>
  </si>
  <si>
    <t>Navigation Menu Disappears in Landscape Orientation</t>
  </si>
  <si>
    <t>3.4.3</t>
  </si>
  <si>
    <t>Tablet portrait mode</t>
  </si>
  <si>
    <t>Tablet</t>
  </si>
  <si>
    <t>3.4.4</t>
  </si>
  <si>
    <t>Tablet landscape mode</t>
  </si>
  <si>
    <t>3.4.5</t>
  </si>
  <si>
    <t>Orientation change handled</t>
  </si>
  <si>
    <t>All mobile</t>
  </si>
  <si>
    <t>Broken Layout Adjustment on Orientation Change</t>
  </si>
  <si>
    <t xml:space="preserve">  4.CrossBrowser</t>
  </si>
  <si>
    <t>4.1 Google Chrome</t>
  </si>
  <si>
    <t>4.1.1</t>
  </si>
  <si>
    <t>All pages render correctly</t>
  </si>
  <si>
    <t>Chrome Latest</t>
  </si>
  <si>
    <t>Multiple 404 resource errors and a terminal JS exception in the drawWheel function are causing incomplete UI rendering.</t>
  </si>
  <si>
    <t>4.1.2</t>
  </si>
  <si>
    <t>All JavaScript functions work</t>
  </si>
  <si>
    <r>
      <rPr>
        <b/>
        <sz val="10"/>
        <color theme="1"/>
        <rFont val="Arial"/>
      </rPr>
      <t>Uncaught DOMException</t>
    </r>
    <r>
      <rPr>
        <sz val="10"/>
        <color theme="1"/>
        <rFont val="Arial"/>
      </rPr>
      <t>: Negative radius at line 640 and multiple 404 resource errors are breaking core JS features.</t>
    </r>
  </si>
  <si>
    <t>4.1.3</t>
  </si>
  <si>
    <t>CSS animations smooth</t>
  </si>
  <si>
    <t>Continuous JS exceptions and 404 resource failures are causing frame rate drops (jank) in CSS transitions.</t>
  </si>
  <si>
    <t>4.1.4</t>
  </si>
  <si>
    <t>Forms submit correctly</t>
  </si>
  <si>
    <r>
      <rPr>
        <b/>
        <sz val="10"/>
        <color rgb="FF38761D"/>
        <rFont val="Arial"/>
      </rPr>
      <t>Contact form is functional and displays a success message,</t>
    </r>
    <r>
      <rPr>
        <sz val="10"/>
        <color theme="1"/>
        <rFont val="Arial"/>
      </rPr>
      <t xml:space="preserve"> though global JS exceptions (IndexSizeError) persist in the console.</t>
    </r>
  </si>
  <si>
    <t>4.1.5</t>
  </si>
  <si>
    <t>Local storage works (cart)</t>
  </si>
  <si>
    <r>
      <rPr>
        <b/>
        <sz val="10"/>
        <color rgb="FFFF0000"/>
        <rFont val="Arial"/>
      </rPr>
      <t xml:space="preserve">IndexSizeError </t>
    </r>
    <r>
      <rPr>
        <sz val="10"/>
        <color theme="1"/>
        <rFont val="Arial"/>
      </rPr>
      <t xml:space="preserve">in Console and </t>
    </r>
    <r>
      <rPr>
        <b/>
        <sz val="10"/>
        <color theme="1"/>
        <rFont val="Arial"/>
      </rPr>
      <t>missing cart data in Local Storage</t>
    </r>
  </si>
  <si>
    <t>4.1.6</t>
  </si>
  <si>
    <t>DevTools console clean (no errors)</t>
  </si>
  <si>
    <t>JavaScript Errors and Warnings in Console</t>
  </si>
  <si>
    <t>4.1.7</t>
  </si>
  <si>
    <t>Previous version compatibility</t>
  </si>
  <si>
    <t>Chrome -1</t>
  </si>
  <si>
    <t>Persistent IndexSizeError and 404 image resource errors found in both latest and Chrome (Latest-1) version.</t>
  </si>
  <si>
    <t>4.1.8</t>
  </si>
  <si>
    <t>Chrome -2</t>
  </si>
  <si>
    <t>Critical JS logic error (radius provided is negative) is a legacy code issue, failing consistently in Chrome (Latest-2) as well.</t>
  </si>
  <si>
    <t>4.2 Mozilla Firefox</t>
  </si>
  <si>
    <t>4.2.1</t>
  </si>
  <si>
    <t>Firefox Latest</t>
  </si>
  <si>
    <t>Missing image assets (404) and failed Canvas rendering (IndexSizeError) causing incomplete UI.</t>
  </si>
  <si>
    <t>4.2.2</t>
  </si>
  <si>
    <t>Global JS exception at drawWheel stops script execution, breaking interactive features like filters and cart updates.</t>
  </si>
  <si>
    <t>4.2.3</t>
  </si>
  <si>
    <t>Background JS errors are causing frame drops and jittery transitions in Firefox.</t>
  </si>
  <si>
    <t>4.2.4</t>
  </si>
  <si>
    <t>Contact form submitted successfully with success message, despite global console errors.</t>
  </si>
  <si>
    <t>4.2.5</t>
  </si>
  <si>
    <t>Script errors prevent reliable data persistence in Firefox's Local Storage.</t>
  </si>
  <si>
    <t>4.2.6</t>
  </si>
  <si>
    <t>Uncaught DOMException: Negative radius and multiple 404 Not Found errors detected.</t>
  </si>
  <si>
    <t>4.2.7</t>
  </si>
  <si>
    <t>Firefox -1</t>
  </si>
  <si>
    <t>Identical JS logic errors and resource issues confirmed in previous Firefox versions.</t>
  </si>
  <si>
    <t>4.2.8</t>
  </si>
  <si>
    <t>Firefox -2</t>
  </si>
  <si>
    <t>Found persistent core errors that are not browser-version specific.</t>
  </si>
  <si>
    <t>4.3 Safari</t>
  </si>
  <si>
    <t>4.3.1</t>
  </si>
  <si>
    <t>Safari Latest (Mac)</t>
  </si>
  <si>
    <t>Missing image resources (404) and failed Canvas rendering (IndexSizeError) causing incomplete UI sections.</t>
  </si>
  <si>
    <t>4.3.2</t>
  </si>
  <si>
    <t>Global JS exception at drawWheel stops subsequent script execution, breaking interactive features.</t>
  </si>
  <si>
    <t>4.3.3</t>
  </si>
  <si>
    <t>JS execution loops due to DOMException cause frame drops and stuttering in Safari transitions.</t>
  </si>
  <si>
    <t>4.3.4</t>
  </si>
  <si>
    <t>Contact form is functional with success message, though background console errors persist.</t>
  </si>
  <si>
    <t>4.3.5</t>
  </si>
  <si>
    <t>Script errors are interrupting storage write operations; also blocked in Safari's Private Browsing mode.</t>
  </si>
  <si>
    <t>4.3.6</t>
  </si>
  <si>
    <t>WebSockets work (Pusher)</t>
  </si>
  <si>
    <t>The critical JS error in init() prevents the Pusher client from establishing a real-time connection.</t>
  </si>
  <si>
    <t>4.3.7</t>
  </si>
  <si>
    <t>iOS Safari compatibility</t>
  </si>
  <si>
    <t>iOS Latest</t>
  </si>
  <si>
    <t>Identical layout breaks and console errors confirmed on iPhone/iPad (iOS Safari).</t>
  </si>
  <si>
    <t>4.3.8</t>
  </si>
  <si>
    <t>iOS Safari previous version</t>
  </si>
  <si>
    <t>iOS -1</t>
  </si>
  <si>
    <t>Legacy JS logic errors (Negative radius) ensure failure on older iOS Safari versions as well.</t>
  </si>
  <si>
    <t>4.4 Microsoft Edge</t>
  </si>
  <si>
    <t>4.4.1</t>
  </si>
  <si>
    <t>Edge Latest</t>
  </si>
  <si>
    <t>Global JS logic errors and missing assets are persistent in Edge (Chromium) across all functional tests.</t>
  </si>
  <si>
    <t>4.4.2</t>
  </si>
  <si>
    <t>4.4.3</t>
  </si>
  <si>
    <t>4.4.4</t>
  </si>
  <si>
    <t>4.4.5</t>
  </si>
  <si>
    <t>4.4.6</t>
  </si>
  <si>
    <t>4.4.7</t>
  </si>
  <si>
    <t>Edge -1</t>
  </si>
  <si>
    <t>4.5 Browser-Specific Features</t>
  </si>
  <si>
    <t>4.5.1</t>
  </si>
  <si>
    <t>Autofill works correctly</t>
  </si>
  <si>
    <t>All browsers</t>
  </si>
  <si>
    <t>4.5.2</t>
  </si>
  <si>
    <t>Password manager integration</t>
  </si>
  <si>
    <t>4.5.3</t>
  </si>
  <si>
    <t>Print styles work</t>
  </si>
  <si>
    <t>Critical UI issue where the print preview renders a blank/white page with no visible text or content.</t>
  </si>
  <si>
    <t>4.5.4</t>
  </si>
  <si>
    <t>Dark mode respects OS setting</t>
  </si>
  <si>
    <t>4.5.5</t>
  </si>
  <si>
    <t>Zoom 150% layout holds</t>
  </si>
  <si>
    <t>4.5.6</t>
  </si>
  <si>
    <t>Zoom 200% layout holds</t>
  </si>
  <si>
    <t xml:space="preserve">  5.Accessibility</t>
  </si>
  <si>
    <t>5.1 Keyboard Navigation</t>
  </si>
  <si>
    <t>5.1.1</t>
  </si>
  <si>
    <t>Tab through all interactive elements</t>
  </si>
  <si>
    <t>5.1.2</t>
  </si>
  <si>
    <t>Shift+Tab reverses tab order</t>
  </si>
  <si>
    <t>5.1.3</t>
  </si>
  <si>
    <t>Enter key activates buttons/links</t>
  </si>
  <si>
    <t>5.1.4</t>
  </si>
  <si>
    <t>Spacebar activates buttons</t>
  </si>
  <si>
    <t>5.1.5</t>
  </si>
  <si>
    <t>Arrow keys navigate menus</t>
  </si>
  <si>
    <t>5.1.6</t>
  </si>
  <si>
    <t>Escape key closes modals</t>
  </si>
  <si>
    <t>5.1.7</t>
  </si>
  <si>
    <t>Focus visible on all elements</t>
  </si>
  <si>
    <t>5.1.8</t>
  </si>
  <si>
    <t>Focus order is logical</t>
  </si>
  <si>
    <t>5.1.9</t>
  </si>
  <si>
    <t>Skip to content link works</t>
  </si>
  <si>
    <t>5.1.10</t>
  </si>
  <si>
    <t>No keyboard traps</t>
  </si>
  <si>
    <t>Navigation focus stuck in Calendar widget (Tab navigation failure).</t>
  </si>
  <si>
    <t>5.1.11</t>
  </si>
  <si>
    <t>Form fields keyboard accessible</t>
  </si>
  <si>
    <t>5.1.12</t>
  </si>
  <si>
    <t>Dropdown menus keyboard accessible</t>
  </si>
  <si>
    <t>All dropdowns</t>
  </si>
  <si>
    <t>5.1.13</t>
  </si>
  <si>
    <t>Date pickers keyboard accessible</t>
  </si>
  <si>
    <t>5.1.14</t>
  </si>
  <si>
    <t>Custom components keyboard accessible</t>
  </si>
  <si>
    <t>All custom UI</t>
  </si>
  <si>
    <t>5.1.15</t>
  </si>
  <si>
    <t>Admin tables keyboard navigable</t>
  </si>
  <si>
    <t>5.2 Screen Reader Compatibility</t>
  </si>
  <si>
    <t>5.2.1</t>
  </si>
  <si>
    <t>Page title announced</t>
  </si>
  <si>
    <t>NVDA/VoiceOver</t>
  </si>
  <si>
    <t>5.2.2</t>
  </si>
  <si>
    <t>Navigation landmarks identified</t>
  </si>
  <si>
    <t>5.2.3</t>
  </si>
  <si>
    <t>Form labels announced</t>
  </si>
  <si>
    <t>5.2.4</t>
  </si>
  <si>
    <t>Error messages announced</t>
  </si>
  <si>
    <t>Screen reader does not announce form validation error messages automatically.</t>
  </si>
  <si>
    <t>5.2.5</t>
  </si>
  <si>
    <t>Success messages announced</t>
  </si>
  <si>
    <t>5.2.6</t>
  </si>
  <si>
    <t>Images have alt text</t>
  </si>
  <si>
    <t>5.2.7</t>
  </si>
  <si>
    <t>Tables have proper headers</t>
  </si>
  <si>
    <t>5.2.8</t>
  </si>
  <si>
    <t>Links have descriptive text</t>
  </si>
  <si>
    <t>5.2.9</t>
  </si>
  <si>
    <t>Buttons have accessible names</t>
  </si>
  <si>
    <t>5.2.10</t>
  </si>
  <si>
    <t>Dynamic content announced</t>
  </si>
  <si>
    <t>5.2.11</t>
  </si>
  <si>
    <t>Modal dialogs announced</t>
  </si>
  <si>
    <r>
      <rPr>
        <sz val="10"/>
        <color theme="1"/>
        <rFont val="Arial"/>
      </rPr>
      <t>Screen reader fails to announce and move focus to the</t>
    </r>
    <r>
      <rPr>
        <b/>
        <sz val="10"/>
        <color rgb="FFFF0000"/>
        <rFont val="Arial"/>
      </rPr>
      <t xml:space="preserve"> "Add to Cart" confirmation modal</t>
    </r>
    <r>
      <rPr>
        <sz val="10"/>
        <color theme="1"/>
        <rFont val="Arial"/>
      </rPr>
      <t>.</t>
    </r>
  </si>
  <si>
    <t>5.2.12</t>
  </si>
  <si>
    <t>Password toggle announced</t>
  </si>
  <si>
    <t>5.3 WCAG 2.1 Level AA Compliance</t>
  </si>
  <si>
    <t>5.3.1</t>
  </si>
  <si>
    <t>Color contrast ratio ≥ 4.5:1</t>
  </si>
  <si>
    <t>1.4.3 Contrast</t>
  </si>
  <si>
    <t>Multiple elements across the homepage fail to meet the WCAG 2.1 AA standard contrast ratio of 4.5:1.</t>
  </si>
  <si>
    <t>5.3.2</t>
  </si>
  <si>
    <t>Text resizable to 200%</t>
  </si>
  <si>
    <t>1.4.4 Resize Text</t>
  </si>
  <si>
    <t>5.3.3</t>
  </si>
  <si>
    <t>Images of text avoided</t>
  </si>
  <si>
    <t>1.4.5 Images of Text</t>
  </si>
  <si>
    <t>5.3.4</t>
  </si>
  <si>
    <t>Color not only means of conveying info</t>
  </si>
  <si>
    <t>1.4.1 Use of Color</t>
  </si>
  <si>
    <t>5.3.5</t>
  </si>
  <si>
    <t>Audio auto-play disabled</t>
  </si>
  <si>
    <t>1.4.2 Audio Control</t>
  </si>
  <si>
    <t>5.3.6</t>
  </si>
  <si>
    <t>Headings describe content</t>
  </si>
  <si>
    <t>2.4.6 Headings</t>
  </si>
  <si>
    <t>5.3.7</t>
  </si>
  <si>
    <t>Focus visible indicator</t>
  </si>
  <si>
    <t>2.4.7 Focus Visible</t>
  </si>
  <si>
    <t>5.3.8</t>
  </si>
  <si>
    <t>Language of page defined in HTML</t>
  </si>
  <si>
    <t>3.1.1 Language</t>
  </si>
  <si>
    <t>5.3.9</t>
  </si>
  <si>
    <t>Consistent navigation across pages</t>
  </si>
  <si>
    <t>3.2.3 Consistent Nav</t>
  </si>
  <si>
    <t>5.3.10</t>
  </si>
  <si>
    <t>Consistent identification of components</t>
  </si>
  <si>
    <t>3.2.4 Consistent ID</t>
  </si>
  <si>
    <t>5.3.11</t>
  </si>
  <si>
    <t>Error prevention on forms</t>
  </si>
  <si>
    <t>3.3.4 Error Prevention</t>
  </si>
  <si>
    <t>5.3.12</t>
  </si>
  <si>
    <t>Help available for forms</t>
  </si>
  <si>
    <t>3.3.5 Help</t>
  </si>
  <si>
    <t>Input fields (Password, Date, etc.) lack descriptive instructions, placeholders with examples, or helper tooltips to guide the user.</t>
  </si>
  <si>
    <t>5.4 Visual Accessibility</t>
  </si>
  <si>
    <t>5.4.1</t>
  </si>
  <si>
    <t>Focus indicators high contrast</t>
  </si>
  <si>
    <t>5.4.2</t>
  </si>
  <si>
    <t>Link identification clear</t>
  </si>
  <si>
    <t>5.4.3</t>
  </si>
  <si>
    <t>Error states visually clear</t>
  </si>
  <si>
    <t>5.4.4</t>
  </si>
  <si>
    <t>Required fields indicated</t>
  </si>
  <si>
    <t>5.4.5</t>
  </si>
  <si>
    <t>Loading states visible</t>
  </si>
  <si>
    <t>5.4.6</t>
  </si>
  <si>
    <t>Disabled states visually clear</t>
  </si>
  <si>
    <t>5.4.7</t>
  </si>
  <si>
    <t>Active nav states clear</t>
  </si>
  <si>
    <t xml:space="preserve">  6.Performance</t>
  </si>
  <si>
    <t>6.1 Page Load Performance</t>
  </si>
  <si>
    <t>6.1.1</t>
  </si>
  <si>
    <t>First Contentful Paint (FCP) &lt; 1.5s</t>
  </si>
  <si>
    <r>
      <rPr>
        <sz val="10"/>
        <color theme="1"/>
        <rFont val="Arial"/>
      </rPr>
      <t xml:space="preserve">Target: &lt; 1.5s । </t>
    </r>
    <r>
      <rPr>
        <b/>
        <sz val="10"/>
        <color rgb="FF38761D"/>
        <rFont val="Arial"/>
      </rPr>
      <t>Result 657 ms</t>
    </r>
  </si>
  <si>
    <t>6.1.2</t>
  </si>
  <si>
    <t>Largest Contentful Paint (LCP) &lt; 2.5s</t>
  </si>
  <si>
    <r>
      <rPr>
        <sz val="10"/>
        <color theme="1"/>
        <rFont val="Arial"/>
      </rPr>
      <t xml:space="preserve">Target: &lt; 2.5s | </t>
    </r>
    <r>
      <rPr>
        <b/>
        <sz val="10"/>
        <color rgb="FF38761D"/>
        <rFont val="Arial"/>
      </rPr>
      <t>Result 697 ms</t>
    </r>
  </si>
  <si>
    <t>6.1.3</t>
  </si>
  <si>
    <t>Time to Interactive (TTI) &lt; 3.5s</t>
  </si>
  <si>
    <r>
      <rPr>
        <sz val="10"/>
        <color theme="1"/>
        <rFont val="Arial"/>
      </rPr>
      <t xml:space="preserve">Target: &lt; 3.5s ।  </t>
    </r>
    <r>
      <rPr>
        <b/>
        <sz val="10"/>
        <color rgb="FF38761D"/>
        <rFont val="Arial"/>
      </rPr>
      <t>Result ~700 ms (Estimated)</t>
    </r>
  </si>
  <si>
    <t>6.1.4</t>
  </si>
  <si>
    <t>Cumulative Layout Shift (CLS) &lt; 0.1</t>
  </si>
  <si>
    <r>
      <rPr>
        <sz val="10"/>
        <color theme="1"/>
        <rFont val="Arial"/>
      </rPr>
      <t xml:space="preserve">Target: &lt; 0.1 | </t>
    </r>
    <r>
      <rPr>
        <b/>
        <sz val="10"/>
        <color rgb="FF274E13"/>
        <rFont val="Arial"/>
      </rPr>
      <t>Result 0.03</t>
    </r>
  </si>
  <si>
    <t>6.1.5</t>
  </si>
  <si>
    <t>Total Blocking Time (TBT) &lt; 300ms</t>
  </si>
  <si>
    <r>
      <rPr>
        <sz val="10"/>
        <color theme="1"/>
        <rFont val="Arial"/>
      </rPr>
      <t xml:space="preserve">Target: &lt; 300ms । </t>
    </r>
    <r>
      <rPr>
        <b/>
        <sz val="10"/>
        <color rgb="FF38761D"/>
        <rFont val="Arial"/>
      </rPr>
      <t>Result 125 ms</t>
    </r>
  </si>
  <si>
    <t>6.1.6</t>
  </si>
  <si>
    <r>
      <rPr>
        <sz val="10"/>
        <color theme="1"/>
        <rFont val="Arial"/>
      </rPr>
      <t xml:space="preserve">Target: &lt; 1.5s । </t>
    </r>
    <r>
      <rPr>
        <b/>
        <sz val="10"/>
        <color rgb="FF274E13"/>
        <rFont val="Arial"/>
      </rPr>
      <t>Result 718 ms (0.7s)</t>
    </r>
  </si>
  <si>
    <t>6.1.7</t>
  </si>
  <si>
    <r>
      <rPr>
        <sz val="10"/>
        <color theme="1"/>
        <rFont val="Arial"/>
      </rPr>
      <t>Target: &lt; 2.5s ।</t>
    </r>
    <r>
      <rPr>
        <b/>
        <sz val="10"/>
        <color rgb="FF274E13"/>
        <rFont val="Arial"/>
      </rPr>
      <t xml:space="preserve"> Result 1,661 ms (1.7s)</t>
    </r>
  </si>
  <si>
    <t>6.1.8</t>
  </si>
  <si>
    <r>
      <rPr>
        <sz val="10"/>
        <color theme="1"/>
        <rFont val="Arial"/>
      </rPr>
      <t xml:space="preserve">Target: &lt; 1.5s ।  </t>
    </r>
    <r>
      <rPr>
        <b/>
        <sz val="10"/>
        <color rgb="FF274E13"/>
        <rFont val="Arial"/>
      </rPr>
      <t>Result 459 ms (0.4s)</t>
    </r>
  </si>
  <si>
    <t>6.1.9</t>
  </si>
  <si>
    <t>Time to Interactive (TTI) &lt; 2.0s</t>
  </si>
  <si>
    <r>
      <rPr>
        <sz val="10"/>
        <color theme="1"/>
        <rFont val="Arial"/>
      </rPr>
      <t xml:space="preserve">Target: &lt; 2.0s । </t>
    </r>
    <r>
      <rPr>
        <b/>
        <sz val="10"/>
        <color rgb="FF274E13"/>
        <rFont val="Arial"/>
      </rPr>
      <t>Result  ~0.5s (Est.)</t>
    </r>
  </si>
  <si>
    <t>6.1.10</t>
  </si>
  <si>
    <t>Admin dashboard load &lt; 3.0s</t>
  </si>
  <si>
    <t>Admin</t>
  </si>
  <si>
    <r>
      <rPr>
        <sz val="10"/>
        <color theme="1"/>
        <rFont val="Arial"/>
      </rPr>
      <t xml:space="preserve">Target: &lt; 3.0s ।  </t>
    </r>
    <r>
      <rPr>
        <b/>
        <sz val="10"/>
        <color rgb="FF274E13"/>
        <rFont val="Arial"/>
      </rPr>
      <t>Result 2.0 s (Speed Index)</t>
    </r>
  </si>
  <si>
    <t>6.2 Resource Loading</t>
  </si>
  <si>
    <t>6.2.1</t>
  </si>
  <si>
    <t>Images lazy loaded on scroll</t>
  </si>
  <si>
    <t>Images load dynamically upon scrolling.</t>
  </si>
  <si>
    <t>6.2.2</t>
  </si>
  <si>
    <t>Images optimized (WebP/AVIF format)</t>
  </si>
  <si>
    <r>
      <rPr>
        <sz val="10"/>
        <color theme="1"/>
        <rFont val="Arial"/>
      </rPr>
      <t xml:space="preserve">Found images in </t>
    </r>
    <r>
      <rPr>
        <b/>
        <sz val="10"/>
        <color rgb="FFFF0000"/>
        <rFont val="Arial"/>
      </rPr>
      <t>JPEG/PNG format;</t>
    </r>
    <r>
      <rPr>
        <sz val="10"/>
        <color theme="1"/>
        <rFont val="Arial"/>
      </rPr>
      <t xml:space="preserve"> </t>
    </r>
    <r>
      <rPr>
        <b/>
        <sz val="10"/>
        <color rgb="FF274E13"/>
        <rFont val="Arial"/>
      </rPr>
      <t>WebP/AVIF is recommended.</t>
    </r>
  </si>
  <si>
    <t>6.2.3</t>
  </si>
  <si>
    <t>CSS files minified</t>
  </si>
  <si>
    <t>Automated Audit - Lighthouse</t>
  </si>
  <si>
    <t>6.2.4</t>
  </si>
  <si>
    <t>JavaScript files minified</t>
  </si>
  <si>
    <t>6.2.5</t>
  </si>
  <si>
    <t>No render-blocking resources</t>
  </si>
  <si>
    <t>No render blocking resource found.</t>
  </si>
  <si>
    <t>6.2.6</t>
  </si>
  <si>
    <t>Critical CSS inlined above fold</t>
  </si>
  <si>
    <t>Above fold</t>
  </si>
  <si>
    <t>Stylesheets are loaded externally, not inlined.</t>
  </si>
  <si>
    <t>6.2.7</t>
  </si>
  <si>
    <t>Fonts loaded efficiently (font-display)</t>
  </si>
  <si>
    <r>
      <rPr>
        <b/>
        <sz val="10"/>
        <color rgb="FFFF0000"/>
        <rFont val="Arial"/>
      </rPr>
      <t>font-display: Text loading</t>
    </r>
    <r>
      <rPr>
        <sz val="10"/>
        <color theme="1"/>
        <rFont val="Arial"/>
      </rPr>
      <t xml:space="preserve"> is delayed because you are not using swap.</t>
    </r>
  </si>
  <si>
    <t>6.2.8</t>
  </si>
  <si>
    <t>Third-party scripts deferred</t>
  </si>
  <si>
    <t>External scripts</t>
  </si>
  <si>
    <t>There is no problem with third-party script loading.</t>
  </si>
  <si>
    <t>6.2.9</t>
  </si>
  <si>
    <t>No unused JavaScript loaded</t>
  </si>
  <si>
    <t>The coverage audit found that up to 88.6% of the main JS files and 99.2% of the CSS files were loading unused code. This is slowing down the page loading speed.</t>
  </si>
  <si>
    <t>6.2.10</t>
  </si>
  <si>
    <t>No unused CSS loaded</t>
  </si>
  <si>
    <t>Unused code found in Font-Awesome and App CSS.</t>
  </si>
  <si>
    <t>6.3 Interaction Performance</t>
  </si>
  <si>
    <t>6.3.1</t>
  </si>
  <si>
    <t>Button click response &lt; 100ms</t>
  </si>
  <si>
    <r>
      <rPr>
        <b/>
        <sz val="10"/>
        <color rgb="FF38761D"/>
        <rFont val="Arial"/>
      </rPr>
      <t>Result 22.27 ms</t>
    </r>
    <r>
      <rPr>
        <sz val="10"/>
        <color theme="1"/>
        <rFont val="Arial"/>
      </rPr>
      <t xml:space="preserve"> | The interaction response time is well below 100ms.</t>
    </r>
  </si>
  <si>
    <t>6.3.2</t>
  </si>
  <si>
    <t>Dropdown opens &lt; 100ms</t>
  </si>
  <si>
    <t>Result 21.65 ms</t>
  </si>
  <si>
    <t>6.3.3</t>
  </si>
  <si>
    <t>Modal opens &lt; 200ms</t>
  </si>
  <si>
    <t>The interaction time for modal opening is recorded at an average of 17.2 ms, which is much faster than the 200 ms limit.</t>
  </si>
  <si>
    <t>6.3.4</t>
  </si>
  <si>
    <t>Page transition &lt; 300ms</t>
  </si>
  <si>
    <t>The new page transition took 2,253 ms after clicking on the link, which is much higher than the 300 ms limit.</t>
  </si>
  <si>
    <t>6.3.5</t>
  </si>
  <si>
    <t>Form validation instant (&lt; 100ms)</t>
  </si>
  <si>
    <t>Tested multiple times (6 steps). The maximum response time was 24.87 ms and the lowest was 1.58 ms. All were below the 100 ms limit.</t>
  </si>
  <si>
    <t>6.3.6</t>
  </si>
  <si>
    <t>Search results appear &lt; 500ms</t>
  </si>
  <si>
    <t>Result 16.52 ms</t>
  </si>
  <si>
    <t>6.3.7</t>
  </si>
  <si>
    <t>Cart update instant &lt;100 ms</t>
  </si>
  <si>
    <t>Cart actions</t>
  </si>
  <si>
    <t>23.63 ms</t>
  </si>
  <si>
    <t>6.3.8</t>
  </si>
  <si>
    <t>Filter apply &lt; 500ms</t>
  </si>
  <si>
    <t>Product filters</t>
  </si>
  <si>
    <t>6.3.9</t>
  </si>
  <si>
    <t>Sort change &lt; 300ms</t>
  </si>
  <si>
    <t>Product sort</t>
  </si>
  <si>
    <t>25.33 ms</t>
  </si>
  <si>
    <t>6.3.10</t>
  </si>
  <si>
    <t>Animations run at 60fps</t>
  </si>
  <si>
    <t>The frame rate is recorded at 29.9 FPS during scrolling and animation. Rendering performance is lower than target due to GPU Raster turned off.</t>
  </si>
  <si>
    <t>6.4 Network Performance</t>
  </si>
  <si>
    <t>6.4.1</t>
  </si>
  <si>
    <t>Homepage loads on Slow 3G</t>
  </si>
  <si>
    <t>Slow 3G</t>
  </si>
  <si>
    <t>Throttle in DevTools | Result 3.50s = Manual Slow 3G profile (400kbps) tested. The load time is 3.3 seconds, which is extremely fast and perfect.</t>
  </si>
  <si>
    <t>6.4.2</t>
  </si>
  <si>
    <t>Product page loads on Slow 3G</t>
  </si>
  <si>
    <r>
      <rPr>
        <sz val="10"/>
        <color theme="1"/>
        <rFont val="Arial"/>
      </rPr>
      <t xml:space="preserve">Throttle in DevTools | </t>
    </r>
    <r>
      <rPr>
        <b/>
        <sz val="10"/>
        <color rgb="FF274E13"/>
        <rFont val="Arial"/>
      </rPr>
      <t>3.91s (Finish)</t>
    </r>
  </si>
  <si>
    <t>6.4.3</t>
  </si>
  <si>
    <t>Checkout works on Slow 3G</t>
  </si>
  <si>
    <r>
      <rPr>
        <sz val="10"/>
        <color theme="1"/>
        <rFont val="Arial"/>
      </rPr>
      <t xml:space="preserve">Throttle in DevTools | </t>
    </r>
    <r>
      <rPr>
        <b/>
        <sz val="10"/>
        <color rgb="FF274E13"/>
        <rFont val="Arial"/>
      </rPr>
      <t>3.94s (Finish)</t>
    </r>
  </si>
  <si>
    <t>6.4.4</t>
  </si>
  <si>
    <t>Offline handling (cached pages shown)</t>
  </si>
  <si>
    <t>Offline</t>
  </si>
  <si>
    <t>When the page is reloaded in offline mode, the browser's default 'No Internet' (Dinosaur) page is displayed. The site does not support offline cache.</t>
  </si>
  <si>
    <t>6.4.5</t>
  </si>
  <si>
    <t>Reconnection after going offline</t>
  </si>
  <si>
    <t>Offline → Online</t>
  </si>
  <si>
    <t>6.4.6</t>
  </si>
  <si>
    <t>API calls cached appropriately</t>
  </si>
  <si>
    <t>All API</t>
  </si>
  <si>
    <t>6.4.7</t>
  </si>
  <si>
    <t>No failed requests in Network tab</t>
  </si>
  <si>
    <t>F12 → Network tab</t>
  </si>
  <si>
    <t>6.4.8</t>
  </si>
  <si>
    <t>HTTP/2 or HTTP/3 protocol used</t>
  </si>
  <si>
    <t>All requests</t>
  </si>
  <si>
    <t>F12 → Network → Protocol</t>
  </si>
  <si>
    <t>6.5 Memory &amp; CPU</t>
  </si>
  <si>
    <t>6.5.1</t>
  </si>
  <si>
    <t>No memory leaks during long session</t>
  </si>
  <si>
    <r>
      <rPr>
        <sz val="10"/>
        <color theme="1"/>
        <rFont val="Arial"/>
      </rPr>
      <t xml:space="preserve">DevTools → Memory । </t>
    </r>
    <r>
      <rPr>
        <b/>
        <sz val="10"/>
        <color rgb="FFFF0000"/>
        <rFont val="Arial"/>
      </rPr>
      <t xml:space="preserve">Result +18.8 MB ।  </t>
    </r>
    <r>
      <rPr>
        <b/>
        <sz val="10"/>
        <color theme="1"/>
        <rFont val="Arial"/>
      </rPr>
      <t>In 5 minutes of intensive use, the memory has increased from 11.2 MB to 30 MB, which is a sign of abnormal memory usage.</t>
    </r>
  </si>
  <si>
    <t>6.5.2</t>
  </si>
  <si>
    <t>CPU usage reasonable</t>
  </si>
  <si>
    <r>
      <rPr>
        <b/>
        <sz val="10"/>
        <color rgb="FF274E13"/>
        <rFont val="Arial"/>
      </rPr>
      <t xml:space="preserve">DevTools → Performance। 0.1% - 0.7% (Idle) </t>
    </r>
    <r>
      <rPr>
        <sz val="10"/>
        <color theme="1"/>
        <rFont val="Arial"/>
      </rPr>
      <t>The CPU usage rate is extremely negligible when the page is stationary, which proves the stability of the system.</t>
    </r>
  </si>
  <si>
    <t>6.5.3</t>
  </si>
  <si>
    <t>No excessive DOM nodes (&lt; 1500)</t>
  </si>
  <si>
    <t>Lighthouse audit ।  There is no warning in the report, so the element number is below 1500.</t>
  </si>
  <si>
    <t>6.5.4</t>
  </si>
  <si>
    <t>Garbage collection works properly</t>
  </si>
  <si>
    <t>Long sessions</t>
  </si>
  <si>
    <r>
      <rPr>
        <sz val="10"/>
        <color theme="1"/>
        <rFont val="Arial"/>
      </rPr>
      <t xml:space="preserve">Even after manually collecting </t>
    </r>
    <r>
      <rPr>
        <b/>
        <sz val="10"/>
        <color theme="1"/>
        <rFont val="Arial"/>
      </rPr>
      <t>'garbage',</t>
    </r>
    <r>
      <rPr>
        <sz val="10"/>
        <color theme="1"/>
        <rFont val="Arial"/>
      </rPr>
      <t xml:space="preserve"> the memory is not decreasing significantly, which indicates a </t>
    </r>
    <r>
      <rPr>
        <b/>
        <sz val="10"/>
        <color theme="1"/>
        <rFont val="Arial"/>
      </rPr>
      <t>'memory leak'.</t>
    </r>
  </si>
  <si>
    <t>6.5.5</t>
  </si>
  <si>
    <t>No frozen/unresponsive tabs</t>
  </si>
  <si>
    <r>
      <rPr>
        <b/>
        <sz val="10"/>
        <color theme="1"/>
        <rFont val="Arial"/>
      </rPr>
      <t xml:space="preserve">22.47s Session </t>
    </r>
    <r>
      <rPr>
        <sz val="10"/>
        <color theme="1"/>
        <rFont val="Arial"/>
      </rPr>
      <t>। Session recordings showed that the main thread was busy for a long time. The tab becomes unresponsive due to the 669ms presentation delay and the looped long task.</t>
    </r>
  </si>
  <si>
    <t xml:space="preserve">  🐛  Bug Report Log - Laravel Voucher App QA</t>
  </si>
  <si>
    <t xml:space="preserve">  Log all failed test cases here with details for developer handoff</t>
  </si>
  <si>
    <t>Bug ID</t>
  </si>
  <si>
    <t>Bug Description</t>
  </si>
  <si>
    <t>Page/Component</t>
  </si>
  <si>
    <t>Device</t>
  </si>
  <si>
    <t>Steps to Reproduce</t>
  </si>
  <si>
    <t>Expected Result</t>
  </si>
  <si>
    <t>Actual Result</t>
  </si>
  <si>
    <t>BUG-001</t>
  </si>
  <si>
    <t>TC-01</t>
  </si>
  <si>
    <t xml:space="preserve">  📝  QA Test Report — Laravel Voucher Application</t>
  </si>
  <si>
    <t>📊 TEST EXECUTION SUMMARY</t>
  </si>
  <si>
    <t>Overall Status</t>
  </si>
  <si>
    <t>✍️ SIGN-OFF</t>
  </si>
  <si>
    <t>Role</t>
  </si>
  <si>
    <t>Name</t>
  </si>
  <si>
    <t>Date</t>
  </si>
  <si>
    <t>Signature</t>
  </si>
  <si>
    <t>Comments</t>
  </si>
  <si>
    <t>QA Tester</t>
  </si>
  <si>
    <t>QA Lead</t>
  </si>
  <si>
    <t>Frontend Lead</t>
  </si>
  <si>
    <t>Product Owner</t>
  </si>
  <si>
    <t xml:space="preserve">Improper padding/margin on the Register page causes text elements to stick together. </t>
  </si>
</sst>
</file>

<file path=xl/styles.xml><?xml version="1.0" encoding="utf-8"?>
<styleSheet xmlns="http://schemas.openxmlformats.org/spreadsheetml/2006/main">
  <numFmts count="1">
    <numFmt numFmtId="164" formatCode="0.0%"/>
  </numFmts>
  <fonts count="27">
    <font>
      <sz val="11"/>
      <color theme="1"/>
      <name val="Calibri"/>
      <scheme val="minor"/>
    </font>
    <font>
      <b/>
      <sz val="16"/>
      <color rgb="FFFFFFFF"/>
      <name val="Arial"/>
    </font>
    <font>
      <sz val="11"/>
      <name val="Calibri"/>
    </font>
    <font>
      <i/>
      <sz val="9"/>
      <color rgb="FFFFFFFF"/>
      <name val="Arial"/>
    </font>
    <font>
      <sz val="11"/>
      <color theme="1"/>
      <name val="Calibri"/>
    </font>
    <font>
      <b/>
      <sz val="10"/>
      <color rgb="FFFFFFFF"/>
      <name val="Arial"/>
    </font>
    <font>
      <b/>
      <sz val="10"/>
      <color rgb="FF1A1A1A"/>
      <name val="Arial"/>
    </font>
    <font>
      <sz val="10"/>
      <color theme="1"/>
      <name val="Arial"/>
    </font>
    <font>
      <b/>
      <sz val="10"/>
      <color theme="1"/>
      <name val="Arial"/>
    </font>
    <font>
      <b/>
      <sz val="11"/>
      <color rgb="FFFFFFFF"/>
      <name val="Arial"/>
    </font>
    <font>
      <b/>
      <sz val="11"/>
      <color rgb="FF1F3864"/>
      <name val="Arial"/>
    </font>
    <font>
      <b/>
      <sz val="10"/>
      <color rgb="FF00B050"/>
      <name val="Arial"/>
    </font>
    <font>
      <b/>
      <sz val="10"/>
      <color rgb="FFFF9900"/>
      <name val="Arial"/>
    </font>
    <font>
      <b/>
      <sz val="10"/>
      <color rgb="FFFF0000"/>
      <name val="Arial"/>
    </font>
    <font>
      <b/>
      <sz val="10"/>
      <color rgb="FFFF4444"/>
      <name val="Arial"/>
    </font>
    <font>
      <b/>
      <sz val="10"/>
      <color rgb="FF00AA00"/>
      <name val="Arial"/>
    </font>
    <font>
      <b/>
      <sz val="10"/>
      <color rgb="FF4472C4"/>
      <name val="Arial"/>
    </font>
    <font>
      <b/>
      <sz val="13"/>
      <color rgb="FFFFFFFF"/>
      <name val="Arial"/>
    </font>
    <font>
      <i/>
      <sz val="9"/>
      <color rgb="FF555555"/>
      <name val="Arial"/>
    </font>
    <font>
      <sz val="11"/>
      <color theme="1"/>
      <name val="Calibri"/>
      <scheme val="minor"/>
    </font>
    <font>
      <sz val="12"/>
      <color theme="1"/>
      <name val="Arial"/>
    </font>
    <font>
      <b/>
      <sz val="11"/>
      <color theme="1"/>
      <name val="Arial"/>
    </font>
    <font>
      <sz val="10"/>
      <color rgb="FFFF0000"/>
      <name val="Arial"/>
    </font>
    <font>
      <b/>
      <sz val="10"/>
      <color rgb="FF274E13"/>
      <name val="Arial"/>
    </font>
    <font>
      <sz val="10"/>
      <color rgb="FF000000"/>
      <name val="Arial"/>
    </font>
    <font>
      <b/>
      <sz val="10"/>
      <color rgb="FF38761D"/>
      <name val="Arial"/>
    </font>
    <font>
      <b/>
      <sz val="14"/>
      <color rgb="FFFFFFFF"/>
      <name val="Arial"/>
    </font>
  </fonts>
  <fills count="28">
    <fill>
      <patternFill patternType="none"/>
    </fill>
    <fill>
      <patternFill patternType="gray125"/>
    </fill>
    <fill>
      <patternFill patternType="solid">
        <fgColor rgb="FF0D2137"/>
        <bgColor rgb="FF0D2137"/>
      </patternFill>
    </fill>
    <fill>
      <patternFill patternType="solid">
        <fgColor rgb="FF2F5496"/>
        <bgColor rgb="FF2F5496"/>
      </patternFill>
    </fill>
    <fill>
      <patternFill patternType="solid">
        <fgColor rgb="FFE8F0FE"/>
        <bgColor rgb="FFE8F0FE"/>
      </patternFill>
    </fill>
    <fill>
      <patternFill patternType="solid">
        <fgColor rgb="FF1F3864"/>
        <bgColor rgb="FF1F3864"/>
      </patternFill>
    </fill>
    <fill>
      <patternFill patternType="solid">
        <fgColor rgb="FFD6E4F7"/>
        <bgColor rgb="FFD6E4F7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EAD1DC"/>
        <bgColor rgb="FFEAD1DC"/>
      </patternFill>
    </fill>
    <fill>
      <patternFill patternType="solid">
        <fgColor rgb="FFFFF2CC"/>
        <bgColor rgb="FFFFF2CC"/>
      </patternFill>
    </fill>
    <fill>
      <patternFill patternType="solid">
        <fgColor rgb="FFD0E0E3"/>
        <bgColor rgb="FFD0E0E3"/>
      </patternFill>
    </fill>
    <fill>
      <patternFill patternType="solid">
        <fgColor rgb="FFE6F4EA"/>
        <bgColor rgb="FFE6F4EA"/>
      </patternFill>
    </fill>
    <fill>
      <patternFill patternType="solid">
        <fgColor rgb="FFFFF3E0"/>
        <bgColor rgb="FFFFF3E0"/>
      </patternFill>
    </fill>
    <fill>
      <patternFill patternType="solid">
        <fgColor rgb="FFFCE8E6"/>
        <bgColor rgb="FFFCE8E6"/>
      </patternFill>
    </fill>
    <fill>
      <patternFill patternType="solid">
        <fgColor rgb="FFFFF0F0"/>
        <bgColor rgb="FFFFF0F0"/>
      </patternFill>
    </fill>
    <fill>
      <patternFill patternType="solid">
        <fgColor rgb="FFFFF8F0"/>
        <bgColor rgb="FFFFF8F0"/>
      </patternFill>
    </fill>
    <fill>
      <patternFill patternType="solid">
        <fgColor rgb="FFF0FFF0"/>
        <bgColor rgb="FFF0FFF0"/>
      </patternFill>
    </fill>
    <fill>
      <patternFill patternType="solid">
        <fgColor rgb="FFF0F4FF"/>
        <bgColor rgb="FFF0F4FF"/>
      </patternFill>
    </fill>
    <fill>
      <patternFill patternType="solid">
        <fgColor rgb="FFE3F2FD"/>
        <bgColor rgb="FFE3F2FD"/>
      </patternFill>
    </fill>
    <fill>
      <patternFill patternType="solid">
        <fgColor rgb="FFFFF8E1"/>
        <bgColor rgb="FFFFF8E1"/>
      </patternFill>
    </fill>
    <fill>
      <patternFill patternType="solid">
        <fgColor rgb="FFE8F5E9"/>
        <bgColor rgb="FFE8F5E9"/>
      </patternFill>
    </fill>
    <fill>
      <patternFill patternType="solid">
        <fgColor rgb="FFCC0000"/>
        <bgColor rgb="FFCC0000"/>
      </patternFill>
    </fill>
    <fill>
      <patternFill patternType="solid">
        <fgColor rgb="FFFFFFFF"/>
        <bgColor rgb="FFFFFFFF"/>
      </patternFill>
    </fill>
    <fill>
      <patternFill patternType="solid">
        <fgColor rgb="FFFFF5F5"/>
        <bgColor rgb="FFFFF5F5"/>
      </patternFill>
    </fill>
    <fill>
      <patternFill patternType="solid">
        <fgColor rgb="FFF3E5F5"/>
        <bgColor rgb="FFF3E5F5"/>
      </patternFill>
    </fill>
    <fill>
      <patternFill patternType="solid">
        <fgColor rgb="FFEBF3FB"/>
        <bgColor rgb="FFEBF3FB"/>
      </patternFill>
    </fill>
    <fill>
      <patternFill patternType="solid">
        <fgColor rgb="FF4472C4"/>
        <bgColor rgb="FF4472C4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46">
    <xf numFmtId="0" fontId="0" fillId="0" borderId="0" xfId="0" applyFont="1" applyAlignment="1"/>
    <xf numFmtId="0" fontId="5" fillId="5" borderId="10" xfId="0" applyFont="1" applyFill="1" applyBorder="1" applyAlignment="1">
      <alignment horizontal="center" vertical="center"/>
    </xf>
    <xf numFmtId="0" fontId="6" fillId="6" borderId="10" xfId="0" applyFont="1" applyFill="1" applyBorder="1" applyAlignment="1">
      <alignment horizontal="left" vertical="center"/>
    </xf>
    <xf numFmtId="0" fontId="7" fillId="6" borderId="10" xfId="0" applyFont="1" applyFill="1" applyBorder="1" applyAlignment="1">
      <alignment horizontal="center" vertical="center"/>
    </xf>
    <xf numFmtId="9" fontId="8" fillId="6" borderId="10" xfId="0" applyNumberFormat="1" applyFont="1" applyFill="1" applyBorder="1" applyAlignment="1">
      <alignment horizontal="center" vertical="center"/>
    </xf>
    <xf numFmtId="0" fontId="8" fillId="6" borderId="10" xfId="0" applyFont="1" applyFill="1" applyBorder="1" applyAlignment="1">
      <alignment horizontal="center" vertical="center"/>
    </xf>
    <xf numFmtId="0" fontId="6" fillId="7" borderId="10" xfId="0" applyFont="1" applyFill="1" applyBorder="1" applyAlignment="1">
      <alignment horizontal="left" vertical="center"/>
    </xf>
    <xf numFmtId="0" fontId="7" fillId="7" borderId="10" xfId="0" applyFont="1" applyFill="1" applyBorder="1" applyAlignment="1">
      <alignment horizontal="center" vertical="center"/>
    </xf>
    <xf numFmtId="9" fontId="8" fillId="7" borderId="10" xfId="0" applyNumberFormat="1" applyFont="1" applyFill="1" applyBorder="1" applyAlignment="1">
      <alignment horizontal="center" vertical="center"/>
    </xf>
    <xf numFmtId="0" fontId="8" fillId="7" borderId="10" xfId="0" applyFont="1" applyFill="1" applyBorder="1" applyAlignment="1">
      <alignment horizontal="center" vertical="center"/>
    </xf>
    <xf numFmtId="0" fontId="6" fillId="8" borderId="10" xfId="0" applyFont="1" applyFill="1" applyBorder="1" applyAlignment="1">
      <alignment horizontal="left" vertical="center"/>
    </xf>
    <xf numFmtId="0" fontId="7" fillId="8" borderId="10" xfId="0" applyFont="1" applyFill="1" applyBorder="1" applyAlignment="1">
      <alignment horizontal="center" vertical="center"/>
    </xf>
    <xf numFmtId="9" fontId="8" fillId="8" borderId="10" xfId="0" applyNumberFormat="1" applyFont="1" applyFill="1" applyBorder="1" applyAlignment="1">
      <alignment horizontal="center" vertical="center"/>
    </xf>
    <xf numFmtId="0" fontId="8" fillId="8" borderId="10" xfId="0" applyFont="1" applyFill="1" applyBorder="1" applyAlignment="1">
      <alignment horizontal="center" vertical="center"/>
    </xf>
    <xf numFmtId="0" fontId="6" fillId="9" borderId="10" xfId="0" applyFont="1" applyFill="1" applyBorder="1" applyAlignment="1">
      <alignment horizontal="left" vertical="center"/>
    </xf>
    <xf numFmtId="0" fontId="7" fillId="9" borderId="10" xfId="0" applyFont="1" applyFill="1" applyBorder="1" applyAlignment="1">
      <alignment horizontal="center" vertical="center"/>
    </xf>
    <xf numFmtId="9" fontId="8" fillId="9" borderId="10" xfId="0" applyNumberFormat="1" applyFont="1" applyFill="1" applyBorder="1" applyAlignment="1">
      <alignment horizontal="center" vertical="center"/>
    </xf>
    <xf numFmtId="0" fontId="8" fillId="9" borderId="10" xfId="0" applyFont="1" applyFill="1" applyBorder="1" applyAlignment="1">
      <alignment horizontal="center" vertical="center"/>
    </xf>
    <xf numFmtId="0" fontId="6" fillId="10" borderId="10" xfId="0" applyFont="1" applyFill="1" applyBorder="1" applyAlignment="1">
      <alignment horizontal="left" vertical="center"/>
    </xf>
    <xf numFmtId="0" fontId="7" fillId="10" borderId="10" xfId="0" applyFont="1" applyFill="1" applyBorder="1" applyAlignment="1">
      <alignment horizontal="center" vertical="center"/>
    </xf>
    <xf numFmtId="9" fontId="8" fillId="10" borderId="10" xfId="0" applyNumberFormat="1" applyFont="1" applyFill="1" applyBorder="1" applyAlignment="1">
      <alignment horizontal="center" vertical="center"/>
    </xf>
    <xf numFmtId="0" fontId="8" fillId="10" borderId="10" xfId="0" applyFont="1" applyFill="1" applyBorder="1" applyAlignment="1">
      <alignment horizontal="center" vertical="center"/>
    </xf>
    <xf numFmtId="0" fontId="6" fillId="11" borderId="10" xfId="0" applyFont="1" applyFill="1" applyBorder="1" applyAlignment="1">
      <alignment horizontal="left" vertical="center"/>
    </xf>
    <xf numFmtId="0" fontId="7" fillId="11" borderId="10" xfId="0" applyFont="1" applyFill="1" applyBorder="1" applyAlignment="1">
      <alignment horizontal="center" vertical="center"/>
    </xf>
    <xf numFmtId="9" fontId="8" fillId="11" borderId="10" xfId="0" applyNumberFormat="1" applyFont="1" applyFill="1" applyBorder="1" applyAlignment="1">
      <alignment horizontal="center" vertical="center"/>
    </xf>
    <xf numFmtId="0" fontId="8" fillId="11" borderId="10" xfId="0" applyFont="1" applyFill="1" applyBorder="1" applyAlignment="1">
      <alignment horizontal="center" vertical="center"/>
    </xf>
    <xf numFmtId="0" fontId="9" fillId="5" borderId="10" xfId="0" applyFont="1" applyFill="1" applyBorder="1" applyAlignment="1">
      <alignment horizontal="center" vertical="center"/>
    </xf>
    <xf numFmtId="9" fontId="9" fillId="5" borderId="10" xfId="0" applyNumberFormat="1" applyFont="1" applyFill="1" applyBorder="1" applyAlignment="1">
      <alignment horizontal="center" vertical="center"/>
    </xf>
    <xf numFmtId="0" fontId="11" fillId="12" borderId="10" xfId="0" applyFont="1" applyFill="1" applyBorder="1" applyAlignment="1">
      <alignment horizontal="center" vertical="center"/>
    </xf>
    <xf numFmtId="0" fontId="12" fillId="13" borderId="10" xfId="0" applyFont="1" applyFill="1" applyBorder="1" applyAlignment="1">
      <alignment horizontal="center" vertical="center"/>
    </xf>
    <xf numFmtId="0" fontId="13" fillId="14" borderId="10" xfId="0" applyFont="1" applyFill="1" applyBorder="1" applyAlignment="1">
      <alignment horizontal="center" vertical="center"/>
    </xf>
    <xf numFmtId="0" fontId="14" fillId="15" borderId="10" xfId="0" applyFont="1" applyFill="1" applyBorder="1" applyAlignment="1">
      <alignment horizontal="center" vertical="center"/>
    </xf>
    <xf numFmtId="0" fontId="12" fillId="16" borderId="10" xfId="0" applyFont="1" applyFill="1" applyBorder="1" applyAlignment="1">
      <alignment horizontal="center" vertical="center"/>
    </xf>
    <xf numFmtId="0" fontId="15" fillId="17" borderId="10" xfId="0" applyFont="1" applyFill="1" applyBorder="1" applyAlignment="1">
      <alignment horizontal="center" vertical="center"/>
    </xf>
    <xf numFmtId="0" fontId="16" fillId="18" borderId="10" xfId="0" applyFont="1" applyFill="1" applyBorder="1" applyAlignment="1">
      <alignment horizontal="center" vertical="center"/>
    </xf>
    <xf numFmtId="0" fontId="19" fillId="0" borderId="0" xfId="0" applyFont="1" applyAlignment="1">
      <alignment horizontal="center"/>
    </xf>
    <xf numFmtId="0" fontId="5" fillId="5" borderId="10" xfId="0" applyFont="1" applyFill="1" applyBorder="1" applyAlignment="1">
      <alignment horizontal="center" vertical="center" wrapText="1"/>
    </xf>
    <xf numFmtId="0" fontId="7" fillId="17" borderId="10" xfId="0" applyFont="1" applyFill="1" applyBorder="1" applyAlignment="1">
      <alignment horizontal="center" vertical="center"/>
    </xf>
    <xf numFmtId="0" fontId="7" fillId="17" borderId="10" xfId="0" applyFont="1" applyFill="1" applyBorder="1" applyAlignment="1">
      <alignment horizontal="left" vertical="center" wrapText="1"/>
    </xf>
    <xf numFmtId="0" fontId="7" fillId="17" borderId="10" xfId="0" applyFont="1" applyFill="1" applyBorder="1" applyAlignment="1">
      <alignment horizontal="left" vertical="center"/>
    </xf>
    <xf numFmtId="0" fontId="20" fillId="17" borderId="10" xfId="0" applyFont="1" applyFill="1" applyBorder="1" applyAlignment="1">
      <alignment horizontal="center" vertical="center"/>
    </xf>
    <xf numFmtId="0" fontId="8" fillId="17" borderId="10" xfId="0" applyFont="1" applyFill="1" applyBorder="1" applyAlignment="1">
      <alignment horizontal="center" vertical="center"/>
    </xf>
    <xf numFmtId="0" fontId="7" fillId="17" borderId="10" xfId="0" applyFont="1" applyFill="1" applyBorder="1" applyAlignment="1">
      <alignment horizontal="left" vertical="center"/>
    </xf>
    <xf numFmtId="0" fontId="7" fillId="15" borderId="10" xfId="0" applyFont="1" applyFill="1" applyBorder="1" applyAlignment="1">
      <alignment horizontal="center" vertical="center"/>
    </xf>
    <xf numFmtId="0" fontId="7" fillId="15" borderId="10" xfId="0" applyFont="1" applyFill="1" applyBorder="1" applyAlignment="1">
      <alignment horizontal="left" vertical="center" wrapText="1"/>
    </xf>
    <xf numFmtId="0" fontId="7" fillId="15" borderId="10" xfId="0" applyFont="1" applyFill="1" applyBorder="1" applyAlignment="1">
      <alignment horizontal="left" vertical="center"/>
    </xf>
    <xf numFmtId="0" fontId="20" fillId="15" borderId="10" xfId="0" applyFont="1" applyFill="1" applyBorder="1" applyAlignment="1">
      <alignment horizontal="center" vertical="center"/>
    </xf>
    <xf numFmtId="0" fontId="8" fillId="15" borderId="10" xfId="0" applyFont="1" applyFill="1" applyBorder="1" applyAlignment="1">
      <alignment horizontal="center" vertical="center"/>
    </xf>
    <xf numFmtId="0" fontId="7" fillId="16" borderId="10" xfId="0" applyFont="1" applyFill="1" applyBorder="1" applyAlignment="1">
      <alignment horizontal="center" vertical="center"/>
    </xf>
    <xf numFmtId="0" fontId="7" fillId="16" borderId="10" xfId="0" applyFont="1" applyFill="1" applyBorder="1" applyAlignment="1">
      <alignment horizontal="left" vertical="center" wrapText="1"/>
    </xf>
    <xf numFmtId="0" fontId="7" fillId="16" borderId="10" xfId="0" applyFont="1" applyFill="1" applyBorder="1" applyAlignment="1">
      <alignment horizontal="left" vertical="center"/>
    </xf>
    <xf numFmtId="0" fontId="20" fillId="16" borderId="10" xfId="0" applyFont="1" applyFill="1" applyBorder="1" applyAlignment="1">
      <alignment horizontal="center" vertical="center"/>
    </xf>
    <xf numFmtId="0" fontId="8" fillId="16" borderId="10" xfId="0" applyFont="1" applyFill="1" applyBorder="1" applyAlignment="1">
      <alignment horizontal="center" vertical="center"/>
    </xf>
    <xf numFmtId="0" fontId="7" fillId="18" borderId="10" xfId="0" applyFont="1" applyFill="1" applyBorder="1" applyAlignment="1">
      <alignment horizontal="center" vertical="center"/>
    </xf>
    <xf numFmtId="0" fontId="7" fillId="18" borderId="10" xfId="0" applyFont="1" applyFill="1" applyBorder="1" applyAlignment="1">
      <alignment horizontal="left" vertical="center" wrapText="1"/>
    </xf>
    <xf numFmtId="0" fontId="7" fillId="18" borderId="10" xfId="0" applyFont="1" applyFill="1" applyBorder="1" applyAlignment="1">
      <alignment horizontal="left" vertical="center"/>
    </xf>
    <xf numFmtId="0" fontId="20" fillId="18" borderId="10" xfId="0" applyFont="1" applyFill="1" applyBorder="1" applyAlignment="1">
      <alignment horizontal="center" vertical="center"/>
    </xf>
    <xf numFmtId="0" fontId="8" fillId="18" borderId="10" xfId="0" applyFont="1" applyFill="1" applyBorder="1" applyAlignment="1">
      <alignment horizontal="center" vertical="center"/>
    </xf>
    <xf numFmtId="0" fontId="7" fillId="17" borderId="10" xfId="0" applyFont="1" applyFill="1" applyBorder="1" applyAlignment="1">
      <alignment horizontal="left" vertical="center" wrapText="1"/>
    </xf>
    <xf numFmtId="0" fontId="7" fillId="16" borderId="10" xfId="0" applyFont="1" applyFill="1" applyBorder="1" applyAlignment="1">
      <alignment horizontal="left" vertical="center" wrapText="1"/>
    </xf>
    <xf numFmtId="0" fontId="19" fillId="0" borderId="0" xfId="0" applyFont="1"/>
    <xf numFmtId="0" fontId="5" fillId="3" borderId="10" xfId="0" applyFont="1" applyFill="1" applyBorder="1" applyAlignment="1">
      <alignment horizontal="center" vertical="center"/>
    </xf>
    <xf numFmtId="0" fontId="21" fillId="19" borderId="10" xfId="0" applyFont="1" applyFill="1" applyBorder="1" applyAlignment="1">
      <alignment horizontal="center" vertical="center"/>
    </xf>
    <xf numFmtId="0" fontId="21" fillId="12" borderId="10" xfId="0" applyFont="1" applyFill="1" applyBorder="1" applyAlignment="1">
      <alignment horizontal="center" vertical="center"/>
    </xf>
    <xf numFmtId="0" fontId="21" fillId="14" borderId="10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164" fontId="21" fillId="21" borderId="10" xfId="0" applyNumberFormat="1" applyFont="1" applyFill="1" applyBorder="1" applyAlignment="1">
      <alignment horizontal="center" vertical="center"/>
    </xf>
    <xf numFmtId="0" fontId="19" fillId="0" borderId="0" xfId="0" applyFont="1" applyAlignment="1">
      <alignment vertical="top"/>
    </xf>
    <xf numFmtId="0" fontId="5" fillId="5" borderId="10" xfId="0" applyFont="1" applyFill="1" applyBorder="1" applyAlignment="1">
      <alignment horizontal="center" vertical="top" wrapText="1"/>
    </xf>
    <xf numFmtId="0" fontId="7" fillId="15" borderId="10" xfId="0" applyFont="1" applyFill="1" applyBorder="1" applyAlignment="1">
      <alignment horizontal="left" vertical="top" wrapText="1"/>
    </xf>
    <xf numFmtId="0" fontId="7" fillId="16" borderId="10" xfId="0" applyFont="1" applyFill="1" applyBorder="1" applyAlignment="1">
      <alignment horizontal="left" vertical="top" wrapText="1"/>
    </xf>
    <xf numFmtId="0" fontId="7" fillId="16" borderId="10" xfId="0" applyFont="1" applyFill="1" applyBorder="1" applyAlignment="1">
      <alignment horizontal="left" vertical="top" wrapText="1"/>
    </xf>
    <xf numFmtId="0" fontId="7" fillId="15" borderId="10" xfId="0" applyFont="1" applyFill="1" applyBorder="1" applyAlignment="1">
      <alignment horizontal="left" vertical="top" wrapText="1"/>
    </xf>
    <xf numFmtId="0" fontId="7" fillId="17" borderId="10" xfId="0" applyFont="1" applyFill="1" applyBorder="1" applyAlignment="1">
      <alignment horizontal="left" vertical="top" wrapText="1"/>
    </xf>
    <xf numFmtId="0" fontId="8" fillId="16" borderId="10" xfId="0" applyFont="1" applyFill="1" applyBorder="1" applyAlignment="1">
      <alignment horizontal="center" vertical="center"/>
    </xf>
    <xf numFmtId="0" fontId="13" fillId="15" borderId="10" xfId="0" applyFont="1" applyFill="1" applyBorder="1" applyAlignment="1">
      <alignment horizontal="left" vertical="top" wrapText="1"/>
    </xf>
    <xf numFmtId="0" fontId="22" fillId="16" borderId="10" xfId="0" applyFont="1" applyFill="1" applyBorder="1" applyAlignment="1">
      <alignment horizontal="left" vertical="top" wrapText="1"/>
    </xf>
    <xf numFmtId="0" fontId="7" fillId="17" borderId="10" xfId="0" applyFont="1" applyFill="1" applyBorder="1" applyAlignment="1">
      <alignment horizontal="left" vertical="top" wrapText="1"/>
    </xf>
    <xf numFmtId="0" fontId="8" fillId="15" borderId="10" xfId="0" applyFont="1" applyFill="1" applyBorder="1" applyAlignment="1">
      <alignment horizontal="center" vertical="center"/>
    </xf>
    <xf numFmtId="0" fontId="7" fillId="15" borderId="10" xfId="0" applyFont="1" applyFill="1" applyBorder="1" applyAlignment="1">
      <alignment horizontal="left" vertical="center" wrapText="1"/>
    </xf>
    <xf numFmtId="0" fontId="7" fillId="18" borderId="10" xfId="0" applyFont="1" applyFill="1" applyBorder="1" applyAlignment="1">
      <alignment horizontal="left" vertical="top" wrapText="1"/>
    </xf>
    <xf numFmtId="0" fontId="7" fillId="15" borderId="10" xfId="0" applyFont="1" applyFill="1" applyBorder="1" applyAlignment="1">
      <alignment horizontal="left" vertical="center"/>
    </xf>
    <xf numFmtId="0" fontId="13" fillId="15" borderId="10" xfId="0" applyFont="1" applyFill="1" applyBorder="1" applyAlignment="1">
      <alignment horizontal="left" vertical="center" wrapText="1"/>
    </xf>
    <xf numFmtId="0" fontId="8" fillId="17" borderId="10" xfId="0" applyFont="1" applyFill="1" applyBorder="1" applyAlignment="1">
      <alignment horizontal="center" vertical="center"/>
    </xf>
    <xf numFmtId="0" fontId="13" fillId="17" borderId="10" xfId="0" applyFont="1" applyFill="1" applyBorder="1" applyAlignment="1">
      <alignment horizontal="left" vertical="top" wrapText="1"/>
    </xf>
    <xf numFmtId="0" fontId="23" fillId="16" borderId="10" xfId="0" applyFont="1" applyFill="1" applyBorder="1" applyAlignment="1">
      <alignment horizontal="left" vertical="top" wrapText="1"/>
    </xf>
    <xf numFmtId="0" fontId="24" fillId="16" borderId="10" xfId="0" applyFont="1" applyFill="1" applyBorder="1" applyAlignment="1">
      <alignment horizontal="left" vertical="top" wrapText="1"/>
    </xf>
    <xf numFmtId="0" fontId="23" fillId="15" borderId="10" xfId="0" applyFont="1" applyFill="1" applyBorder="1" applyAlignment="1">
      <alignment horizontal="left" vertical="top" wrapText="1"/>
    </xf>
    <xf numFmtId="0" fontId="25" fillId="17" borderId="10" xfId="0" applyFont="1" applyFill="1" applyBorder="1" applyAlignment="1">
      <alignment horizontal="left" vertical="top" wrapText="1"/>
    </xf>
    <xf numFmtId="0" fontId="5" fillId="22" borderId="10" xfId="0" applyFont="1" applyFill="1" applyBorder="1" applyAlignment="1">
      <alignment horizontal="center" vertical="center" wrapText="1"/>
    </xf>
    <xf numFmtId="0" fontId="4" fillId="23" borderId="10" xfId="0" applyFont="1" applyFill="1" applyBorder="1" applyAlignment="1">
      <alignment horizontal="center" vertical="center"/>
    </xf>
    <xf numFmtId="0" fontId="4" fillId="23" borderId="10" xfId="0" applyFont="1" applyFill="1" applyBorder="1" applyAlignment="1">
      <alignment horizontal="center" vertical="center"/>
    </xf>
    <xf numFmtId="0" fontId="4" fillId="23" borderId="10" xfId="0" applyFont="1" applyFill="1" applyBorder="1" applyAlignment="1">
      <alignment horizontal="left" vertical="center" wrapText="1"/>
    </xf>
    <xf numFmtId="0" fontId="4" fillId="23" borderId="10" xfId="0" applyFont="1" applyFill="1" applyBorder="1" applyAlignment="1">
      <alignment horizontal="left" vertical="center"/>
    </xf>
    <xf numFmtId="0" fontId="4" fillId="24" borderId="10" xfId="0" applyFont="1" applyFill="1" applyBorder="1" applyAlignment="1">
      <alignment horizontal="center" vertical="center"/>
    </xf>
    <xf numFmtId="0" fontId="4" fillId="24" borderId="10" xfId="0" applyFont="1" applyFill="1" applyBorder="1" applyAlignment="1">
      <alignment horizontal="left" vertical="center" wrapText="1"/>
    </xf>
    <xf numFmtId="0" fontId="4" fillId="24" borderId="10" xfId="0" applyFont="1" applyFill="1" applyBorder="1" applyAlignment="1">
      <alignment horizontal="left" vertical="center"/>
    </xf>
    <xf numFmtId="0" fontId="8" fillId="19" borderId="10" xfId="0" applyFont="1" applyFill="1" applyBorder="1" applyAlignment="1">
      <alignment horizontal="left" vertical="center"/>
    </xf>
    <xf numFmtId="0" fontId="8" fillId="12" borderId="10" xfId="0" applyFont="1" applyFill="1" applyBorder="1" applyAlignment="1">
      <alignment horizontal="left" vertical="center"/>
    </xf>
    <xf numFmtId="0" fontId="8" fillId="14" borderId="10" xfId="0" applyFont="1" applyFill="1" applyBorder="1" applyAlignment="1">
      <alignment horizontal="left" vertical="center"/>
    </xf>
    <xf numFmtId="0" fontId="8" fillId="20" borderId="10" xfId="0" applyFont="1" applyFill="1" applyBorder="1" applyAlignment="1">
      <alignment horizontal="left" vertical="center"/>
    </xf>
    <xf numFmtId="0" fontId="8" fillId="21" borderId="10" xfId="0" applyFont="1" applyFill="1" applyBorder="1" applyAlignment="1">
      <alignment horizontal="left" vertical="center"/>
    </xf>
    <xf numFmtId="0" fontId="8" fillId="25" borderId="10" xfId="0" applyFont="1" applyFill="1" applyBorder="1" applyAlignment="1">
      <alignment horizontal="left" vertical="center"/>
    </xf>
    <xf numFmtId="0" fontId="7" fillId="26" borderId="10" xfId="0" applyFont="1" applyFill="1" applyBorder="1" applyAlignment="1">
      <alignment horizontal="center" vertical="center"/>
    </xf>
    <xf numFmtId="0" fontId="7" fillId="23" borderId="10" xfId="0" applyFont="1" applyFill="1" applyBorder="1" applyAlignment="1">
      <alignment horizontal="center" vertical="center"/>
    </xf>
    <xf numFmtId="0" fontId="5" fillId="27" borderId="10" xfId="0" applyFont="1" applyFill="1" applyBorder="1" applyAlignment="1">
      <alignment horizontal="center" vertical="center"/>
    </xf>
    <xf numFmtId="0" fontId="8" fillId="26" borderId="10" xfId="0" applyFont="1" applyFill="1" applyBorder="1" applyAlignment="1">
      <alignment horizontal="center" vertical="center"/>
    </xf>
    <xf numFmtId="0" fontId="8" fillId="23" borderId="10" xfId="0" applyFont="1" applyFill="1" applyBorder="1" applyAlignment="1">
      <alignment horizontal="center" vertical="center"/>
    </xf>
    <xf numFmtId="0" fontId="7" fillId="13" borderId="11" xfId="0" applyFont="1" applyFill="1" applyBorder="1" applyAlignment="1">
      <alignment horizontal="left" vertical="center"/>
    </xf>
    <xf numFmtId="0" fontId="2" fillId="0" borderId="12" xfId="0" applyFont="1" applyBorder="1"/>
    <xf numFmtId="0" fontId="2" fillId="0" borderId="13" xfId="0" applyFont="1" applyBorder="1"/>
    <xf numFmtId="0" fontId="7" fillId="14" borderId="1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3" fillId="3" borderId="7" xfId="0" applyFont="1" applyFill="1" applyBorder="1" applyAlignment="1">
      <alignment horizontal="center" vertical="center"/>
    </xf>
    <xf numFmtId="0" fontId="2" fillId="0" borderId="8" xfId="0" applyFont="1" applyBorder="1"/>
    <xf numFmtId="0" fontId="2" fillId="0" borderId="9" xfId="0" applyFont="1" applyBorder="1"/>
    <xf numFmtId="0" fontId="4" fillId="4" borderId="7" xfId="0" applyFont="1" applyFill="1" applyBorder="1"/>
    <xf numFmtId="0" fontId="10" fillId="4" borderId="11" xfId="0" applyFont="1" applyFill="1" applyBorder="1" applyAlignment="1">
      <alignment horizontal="center" vertical="center"/>
    </xf>
    <xf numFmtId="0" fontId="7" fillId="12" borderId="11" xfId="0" applyFont="1" applyFill="1" applyBorder="1" applyAlignment="1">
      <alignment horizontal="left" vertical="center"/>
    </xf>
    <xf numFmtId="0" fontId="7" fillId="15" borderId="11" xfId="0" applyFont="1" applyFill="1" applyBorder="1" applyAlignment="1">
      <alignment horizontal="left" vertical="center"/>
    </xf>
    <xf numFmtId="0" fontId="7" fillId="16" borderId="11" xfId="0" applyFont="1" applyFill="1" applyBorder="1" applyAlignment="1">
      <alignment horizontal="left" vertical="center"/>
    </xf>
    <xf numFmtId="0" fontId="7" fillId="17" borderId="11" xfId="0" applyFont="1" applyFill="1" applyBorder="1" applyAlignment="1">
      <alignment horizontal="left" vertical="center"/>
    </xf>
    <xf numFmtId="0" fontId="7" fillId="18" borderId="11" xfId="0" applyFont="1" applyFill="1" applyBorder="1" applyAlignment="1">
      <alignment horizontal="left" vertical="center"/>
    </xf>
    <xf numFmtId="0" fontId="5" fillId="3" borderId="11" xfId="0" applyFont="1" applyFill="1" applyBorder="1" applyAlignment="1">
      <alignment horizontal="left" vertical="center"/>
    </xf>
    <xf numFmtId="0" fontId="5" fillId="3" borderId="11" xfId="0" applyFont="1" applyFill="1" applyBorder="1" applyAlignment="1">
      <alignment horizontal="center" vertical="center"/>
    </xf>
    <xf numFmtId="0" fontId="17" fillId="2" borderId="7" xfId="0" applyFont="1" applyFill="1" applyBorder="1" applyAlignment="1">
      <alignment horizontal="left" vertical="center"/>
    </xf>
    <xf numFmtId="0" fontId="18" fillId="18" borderId="7" xfId="0" applyFont="1" applyFill="1" applyBorder="1" applyAlignment="1">
      <alignment horizontal="left" vertical="center"/>
    </xf>
    <xf numFmtId="0" fontId="26" fillId="22" borderId="7" xfId="0" applyFont="1" applyFill="1" applyBorder="1" applyAlignment="1">
      <alignment horizontal="left" vertical="center"/>
    </xf>
    <xf numFmtId="0" fontId="18" fillId="15" borderId="7" xfId="0" applyFont="1" applyFill="1" applyBorder="1" applyAlignment="1">
      <alignment horizontal="left" vertical="center"/>
    </xf>
    <xf numFmtId="0" fontId="7" fillId="23" borderId="11" xfId="0" applyFont="1" applyFill="1" applyBorder="1" applyAlignment="1">
      <alignment horizontal="left" vertical="center"/>
    </xf>
    <xf numFmtId="0" fontId="7" fillId="26" borderId="11" xfId="0" applyFont="1" applyFill="1" applyBorder="1" applyAlignment="1">
      <alignment horizontal="left" vertical="center"/>
    </xf>
    <xf numFmtId="0" fontId="21" fillId="25" borderId="11" xfId="0" applyFont="1" applyFill="1" applyBorder="1" applyAlignment="1">
      <alignment horizontal="center" vertical="center"/>
    </xf>
    <xf numFmtId="0" fontId="21" fillId="20" borderId="11" xfId="0" applyFont="1" applyFill="1" applyBorder="1" applyAlignment="1">
      <alignment horizontal="center" vertical="center"/>
    </xf>
    <xf numFmtId="164" fontId="21" fillId="21" borderId="11" xfId="0" applyNumberFormat="1" applyFont="1" applyFill="1" applyBorder="1" applyAlignment="1">
      <alignment horizontal="center" vertical="center"/>
    </xf>
    <xf numFmtId="0" fontId="9" fillId="5" borderId="11" xfId="0" applyFont="1" applyFill="1" applyBorder="1" applyAlignment="1">
      <alignment horizontal="center" vertical="center"/>
    </xf>
    <xf numFmtId="0" fontId="5" fillId="27" borderId="1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21" fillId="19" borderId="11" xfId="0" applyFont="1" applyFill="1" applyBorder="1" applyAlignment="1">
      <alignment horizontal="center" vertical="center"/>
    </xf>
    <xf numFmtId="0" fontId="21" fillId="12" borderId="11" xfId="0" applyFont="1" applyFill="1" applyBorder="1" applyAlignment="1">
      <alignment horizontal="center" vertical="center"/>
    </xf>
    <xf numFmtId="0" fontId="21" fillId="14" borderId="11" xfId="0" applyFont="1" applyFill="1" applyBorder="1" applyAlignment="1">
      <alignment horizontal="center" vertical="center"/>
    </xf>
    <xf numFmtId="0" fontId="0" fillId="0" borderId="9" xfId="0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00"/>
  <sheetViews>
    <sheetView showGridLines="0" workbookViewId="0">
      <pane ySplit="5" topLeftCell="A6" activePane="bottomLeft" state="frozen"/>
      <selection pane="bottomLeft" activeCell="B7" sqref="B7"/>
    </sheetView>
  </sheetViews>
  <sheetFormatPr defaultColWidth="14.42578125" defaultRowHeight="15" customHeight="1"/>
  <cols>
    <col min="1" max="1" width="4" customWidth="1"/>
    <col min="2" max="2" width="28" customWidth="1"/>
    <col min="3" max="3" width="18" customWidth="1"/>
    <col min="4" max="7" width="14" customWidth="1"/>
    <col min="8" max="8" width="18" customWidth="1"/>
    <col min="9" max="26" width="8.7109375" customWidth="1"/>
  </cols>
  <sheetData>
    <row r="1" spans="1:8" ht="36" customHeight="1">
      <c r="A1" s="112" t="s">
        <v>0</v>
      </c>
      <c r="B1" s="113"/>
      <c r="C1" s="113"/>
      <c r="D1" s="113"/>
      <c r="E1" s="113"/>
      <c r="F1" s="113"/>
      <c r="G1" s="113"/>
      <c r="H1" s="114"/>
    </row>
    <row r="2" spans="1:8" ht="9.75" customHeight="1">
      <c r="A2" s="115"/>
      <c r="B2" s="116"/>
      <c r="C2" s="116"/>
      <c r="D2" s="116"/>
      <c r="E2" s="116"/>
      <c r="F2" s="116"/>
      <c r="G2" s="116"/>
      <c r="H2" s="117"/>
    </row>
    <row r="3" spans="1:8" ht="18" customHeight="1">
      <c r="A3" s="118" t="s">
        <v>1</v>
      </c>
      <c r="B3" s="119"/>
      <c r="C3" s="119"/>
      <c r="D3" s="119"/>
      <c r="E3" s="119"/>
      <c r="F3" s="119"/>
      <c r="G3" s="119"/>
      <c r="H3" s="120"/>
    </row>
    <row r="4" spans="1:8" ht="7.5" customHeight="1">
      <c r="A4" s="121"/>
      <c r="B4" s="119"/>
      <c r="C4" s="119"/>
      <c r="D4" s="119"/>
      <c r="E4" s="119"/>
      <c r="F4" s="119"/>
      <c r="G4" s="119"/>
      <c r="H4" s="120"/>
    </row>
    <row r="5" spans="1:8" ht="21.75" customHeight="1"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</row>
    <row r="6" spans="1:8" ht="21.75" customHeight="1">
      <c r="B6" s="2" t="s">
        <v>9</v>
      </c>
      <c r="C6" s="3">
        <f>COUNTIF('1.UI Visual'!G:G,"Pass")+COUNTIF('1.UI Visual'!G:G,"Fail")+COUNTIF('1.UI Visual'!G:G,"Not Run")</f>
        <v>50</v>
      </c>
      <c r="D6" s="3">
        <f>COUNTIF('1.UI Visual'!G:G,"Pass")</f>
        <v>48</v>
      </c>
      <c r="E6" s="3">
        <f>COUNTIF('1.UI Visual'!G:G,"Fail")</f>
        <v>1</v>
      </c>
      <c r="F6" s="3">
        <f>COUNTIF('1.UI Visual'!G:G,"Not Run")</f>
        <v>1</v>
      </c>
      <c r="G6" s="4">
        <f t="shared" ref="G6:G12" si="0">IFERROR(D6/C6,0)</f>
        <v>0.96</v>
      </c>
      <c r="H6" s="5" t="str">
        <f t="shared" ref="H6:H11" si="1">IF(E6&gt;0,"❌ Has Failures",IF(F6&gt;0,"⚠️ Incomplete","✅ Complete"))</f>
        <v>❌ Has Failures</v>
      </c>
    </row>
    <row r="7" spans="1:8" ht="21.75" customHeight="1">
      <c r="B7" s="6" t="s">
        <v>10</v>
      </c>
      <c r="C7" s="7">
        <f>COUNTIF('2.Functional'!G:G,"Pass")+COUNTIF('2.Functional'!G:G,"Fail")+COUNTIF('2.Functional'!G:G,"Not Run")</f>
        <v>93</v>
      </c>
      <c r="D7" s="7">
        <f>COUNTIF('2.Functional'!G:G,"Pass")</f>
        <v>61</v>
      </c>
      <c r="E7" s="7">
        <f>COUNTIF('2.Functional'!G:G,"Fail")</f>
        <v>25</v>
      </c>
      <c r="F7" s="7">
        <f>COUNTIF('2.Functional'!G:G,"Not Run")</f>
        <v>7</v>
      </c>
      <c r="G7" s="8">
        <f t="shared" si="0"/>
        <v>0.65591397849462363</v>
      </c>
      <c r="H7" s="9" t="str">
        <f t="shared" si="1"/>
        <v>❌ Has Failures</v>
      </c>
    </row>
    <row r="8" spans="1:8" ht="21.75" customHeight="1">
      <c r="B8" s="10" t="s">
        <v>11</v>
      </c>
      <c r="C8" s="11">
        <f>COUNTIF('3.Responsive'!G:G,"Pass")+COUNTIF('3.Responsive'!G:G,"Fail")+COUNTIF('3.Responsive'!G:G,"Not Run")</f>
        <v>42</v>
      </c>
      <c r="D8" s="11">
        <f>COUNTIF('3.Responsive'!G:G,"Pass")</f>
        <v>35</v>
      </c>
      <c r="E8" s="11">
        <f>COUNTIF('3.Responsive'!G:G,"Fail")</f>
        <v>7</v>
      </c>
      <c r="F8" s="11">
        <f>COUNTIF('3.Responsive'!G:G,"Not Run")</f>
        <v>0</v>
      </c>
      <c r="G8" s="12">
        <f t="shared" si="0"/>
        <v>0.83333333333333337</v>
      </c>
      <c r="H8" s="13" t="str">
        <f t="shared" si="1"/>
        <v>❌ Has Failures</v>
      </c>
    </row>
    <row r="9" spans="1:8" ht="21.75" customHeight="1">
      <c r="B9" s="14" t="s">
        <v>12</v>
      </c>
      <c r="C9" s="15">
        <f>COUNTIF('4.CrossBrowser'!G:G,"Pass")+COUNTIF('4.CrossBrowser'!G:G,"Fail")+COUNTIF('4.CrossBrowser'!G:G,"Not Run")</f>
        <v>37</v>
      </c>
      <c r="D9" s="15">
        <f>COUNTIF('4.CrossBrowser'!G:G,"Pass")</f>
        <v>9</v>
      </c>
      <c r="E9" s="15">
        <f>COUNTIF('4.CrossBrowser'!G:G,"Fail")</f>
        <v>28</v>
      </c>
      <c r="F9" s="15">
        <f>COUNTIF('4.CrossBrowser'!G:G,"Not Run")</f>
        <v>0</v>
      </c>
      <c r="G9" s="16">
        <f t="shared" si="0"/>
        <v>0.24324324324324326</v>
      </c>
      <c r="H9" s="17" t="str">
        <f t="shared" si="1"/>
        <v>❌ Has Failures</v>
      </c>
    </row>
    <row r="10" spans="1:8" ht="21.75" customHeight="1">
      <c r="B10" s="18" t="s">
        <v>13</v>
      </c>
      <c r="C10" s="19">
        <f>COUNTIF('5.Accessibility'!G:G,"Pass")+COUNTIF('5.Accessibility'!G:G,"Fail")+COUNTIF('5.Accessibility'!G:G,"Not Run")</f>
        <v>46</v>
      </c>
      <c r="D10" s="19">
        <f>COUNTIF('5.Accessibility'!G:G,"Pass")</f>
        <v>39</v>
      </c>
      <c r="E10" s="19">
        <f>COUNTIF('5.Accessibility'!G:G,"Fail")</f>
        <v>5</v>
      </c>
      <c r="F10" s="19">
        <f>COUNTIF('5.Accessibility'!G:G,"Not Run")</f>
        <v>2</v>
      </c>
      <c r="G10" s="20">
        <f t="shared" si="0"/>
        <v>0.84782608695652173</v>
      </c>
      <c r="H10" s="21" t="str">
        <f t="shared" si="1"/>
        <v>❌ Has Failures</v>
      </c>
    </row>
    <row r="11" spans="1:8" ht="21.75" customHeight="1">
      <c r="B11" s="22" t="s">
        <v>14</v>
      </c>
      <c r="C11" s="23">
        <f>COUNTIF('6.Performance'!G:G,"Pass")+COUNTIF('6.Performance'!G:G,"Fail")+COUNTIF('6.Performance'!G:G,"Not Run")</f>
        <v>43</v>
      </c>
      <c r="D11" s="23">
        <f>COUNTIF('6.Performance'!G:G,"Pass")</f>
        <v>27</v>
      </c>
      <c r="E11" s="23">
        <f>COUNTIF('6.Performance'!G:G,"Fail")</f>
        <v>9</v>
      </c>
      <c r="F11" s="23">
        <f>COUNTIF('6.Performance'!G:G,"Not Run")</f>
        <v>7</v>
      </c>
      <c r="G11" s="24">
        <f t="shared" si="0"/>
        <v>0.62790697674418605</v>
      </c>
      <c r="H11" s="25" t="str">
        <f t="shared" si="1"/>
        <v>❌ Has Failures</v>
      </c>
    </row>
    <row r="12" spans="1:8" ht="24" customHeight="1">
      <c r="B12" s="26" t="s">
        <v>15</v>
      </c>
      <c r="C12" s="26">
        <f t="shared" ref="C12:F12" si="2">SUM(C6:C11)</f>
        <v>311</v>
      </c>
      <c r="D12" s="26">
        <f t="shared" si="2"/>
        <v>219</v>
      </c>
      <c r="E12" s="26">
        <f t="shared" si="2"/>
        <v>75</v>
      </c>
      <c r="F12" s="26">
        <f t="shared" si="2"/>
        <v>17</v>
      </c>
      <c r="G12" s="27">
        <f t="shared" si="0"/>
        <v>0.70418006430868163</v>
      </c>
      <c r="H12" s="26" t="str">
        <f>IF(E12&gt;0,"❌ FAIL",IF(D12/C12&gt;=0.95,"✅ PASS","⚠️ CONDITIONAL"))</f>
        <v>❌ FAIL</v>
      </c>
    </row>
    <row r="13" spans="1:8" ht="18" customHeight="1"/>
    <row r="14" spans="1:8" ht="19.5" customHeight="1">
      <c r="B14" s="122" t="s">
        <v>16</v>
      </c>
      <c r="C14" s="109"/>
      <c r="D14" s="109"/>
      <c r="E14" s="109"/>
      <c r="F14" s="109"/>
      <c r="G14" s="109"/>
      <c r="H14" s="110"/>
    </row>
    <row r="15" spans="1:8" ht="19.5" customHeight="1">
      <c r="B15" s="28" t="s">
        <v>17</v>
      </c>
      <c r="C15" s="123" t="s">
        <v>18</v>
      </c>
      <c r="D15" s="109"/>
      <c r="E15" s="109"/>
      <c r="F15" s="109"/>
      <c r="G15" s="109"/>
      <c r="H15" s="110"/>
    </row>
    <row r="16" spans="1:8" ht="19.5" customHeight="1">
      <c r="B16" s="29" t="s">
        <v>19</v>
      </c>
      <c r="C16" s="108" t="s">
        <v>20</v>
      </c>
      <c r="D16" s="109"/>
      <c r="E16" s="109"/>
      <c r="F16" s="109"/>
      <c r="G16" s="109"/>
      <c r="H16" s="110"/>
    </row>
    <row r="17" spans="2:8" ht="19.5" customHeight="1">
      <c r="B17" s="30" t="s">
        <v>21</v>
      </c>
      <c r="C17" s="111" t="s">
        <v>22</v>
      </c>
      <c r="D17" s="109"/>
      <c r="E17" s="109"/>
      <c r="F17" s="109"/>
      <c r="G17" s="109"/>
      <c r="H17" s="110"/>
    </row>
    <row r="18" spans="2:8" ht="18" customHeight="1"/>
    <row r="19" spans="2:8" ht="19.5" customHeight="1">
      <c r="B19" s="122" t="s">
        <v>23</v>
      </c>
      <c r="C19" s="109"/>
      <c r="D19" s="109"/>
      <c r="E19" s="109"/>
      <c r="F19" s="109"/>
      <c r="G19" s="109"/>
      <c r="H19" s="110"/>
    </row>
    <row r="20" spans="2:8" ht="19.5" customHeight="1">
      <c r="B20" s="31" t="s">
        <v>24</v>
      </c>
      <c r="C20" s="124" t="s">
        <v>25</v>
      </c>
      <c r="D20" s="109"/>
      <c r="E20" s="109"/>
      <c r="F20" s="109"/>
      <c r="G20" s="110"/>
      <c r="H20" s="31" t="s">
        <v>26</v>
      </c>
    </row>
    <row r="21" spans="2:8" ht="19.5" customHeight="1">
      <c r="B21" s="32" t="s">
        <v>27</v>
      </c>
      <c r="C21" s="125" t="s">
        <v>28</v>
      </c>
      <c r="D21" s="109"/>
      <c r="E21" s="109"/>
      <c r="F21" s="109"/>
      <c r="G21" s="110"/>
      <c r="H21" s="32" t="s">
        <v>29</v>
      </c>
    </row>
    <row r="22" spans="2:8" ht="19.5" customHeight="1">
      <c r="B22" s="33" t="s">
        <v>30</v>
      </c>
      <c r="C22" s="126" t="s">
        <v>31</v>
      </c>
      <c r="D22" s="109"/>
      <c r="E22" s="109"/>
      <c r="F22" s="109"/>
      <c r="G22" s="110"/>
      <c r="H22" s="33" t="s">
        <v>32</v>
      </c>
    </row>
    <row r="23" spans="2:8" ht="19.5" customHeight="1">
      <c r="B23" s="34" t="s">
        <v>33</v>
      </c>
      <c r="C23" s="127" t="s">
        <v>34</v>
      </c>
      <c r="D23" s="109"/>
      <c r="E23" s="109"/>
      <c r="F23" s="109"/>
      <c r="G23" s="110"/>
      <c r="H23" s="34" t="s">
        <v>35</v>
      </c>
    </row>
    <row r="24" spans="2:8" ht="18" customHeight="1"/>
    <row r="25" spans="2:8" ht="18" customHeight="1"/>
    <row r="26" spans="2:8" ht="18" customHeight="1"/>
    <row r="27" spans="2:8" ht="18" customHeight="1"/>
    <row r="28" spans="2:8" ht="18" customHeight="1"/>
    <row r="29" spans="2:8" ht="18" customHeight="1"/>
    <row r="30" spans="2:8" ht="18" customHeight="1"/>
    <row r="31" spans="2:8" ht="18" customHeight="1"/>
    <row r="32" spans="2:8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B19:H19"/>
    <mergeCell ref="C20:G20"/>
    <mergeCell ref="C21:G21"/>
    <mergeCell ref="C22:G22"/>
    <mergeCell ref="C23:G23"/>
    <mergeCell ref="C16:H16"/>
    <mergeCell ref="C17:H17"/>
    <mergeCell ref="A1:H2"/>
    <mergeCell ref="A3:H3"/>
    <mergeCell ref="A4:H4"/>
    <mergeCell ref="B14:H14"/>
    <mergeCell ref="C15:H15"/>
  </mergeCell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000"/>
  <sheetViews>
    <sheetView showGridLines="0" tabSelected="1" workbookViewId="0">
      <pane ySplit="4" topLeftCell="A5" activePane="bottomLeft" state="frozen"/>
      <selection pane="bottomLeft" activeCell="H12" sqref="H12"/>
    </sheetView>
  </sheetViews>
  <sheetFormatPr defaultColWidth="14.42578125" defaultRowHeight="15" customHeight="1"/>
  <cols>
    <col min="1" max="1" width="10" customWidth="1"/>
    <col min="2" max="2" width="42" customWidth="1"/>
    <col min="3" max="3" width="24" customWidth="1"/>
    <col min="4" max="4" width="13" customWidth="1"/>
    <col min="5" max="6" width="10" customWidth="1"/>
    <col min="7" max="7" width="14" customWidth="1"/>
    <col min="8" max="8" width="36" customWidth="1"/>
    <col min="9" max="9" width="18" customWidth="1"/>
    <col min="10" max="26" width="8.7109375" customWidth="1"/>
  </cols>
  <sheetData>
    <row r="1" spans="1:9" ht="31.5" customHeight="1">
      <c r="A1" s="130" t="s">
        <v>36</v>
      </c>
      <c r="B1" s="119"/>
      <c r="C1" s="119"/>
      <c r="D1" s="119"/>
      <c r="E1" s="119"/>
      <c r="F1" s="119"/>
      <c r="G1" s="119"/>
      <c r="H1" s="119"/>
      <c r="I1" s="120"/>
    </row>
    <row r="2" spans="1:9" ht="15.75" customHeight="1">
      <c r="A2" s="131" t="s">
        <v>37</v>
      </c>
      <c r="B2" s="119"/>
      <c r="C2" s="119"/>
      <c r="D2" s="119"/>
      <c r="E2" s="119"/>
      <c r="F2" s="119"/>
      <c r="G2" s="119"/>
      <c r="H2" s="119"/>
      <c r="I2" s="120"/>
    </row>
    <row r="3" spans="1:9" ht="6" customHeight="1">
      <c r="D3" s="35"/>
    </row>
    <row r="4" spans="1:9" ht="21.75" customHeight="1">
      <c r="A4" s="36" t="s">
        <v>38</v>
      </c>
      <c r="B4" s="36" t="s">
        <v>39</v>
      </c>
      <c r="C4" s="36" t="s">
        <v>40</v>
      </c>
      <c r="D4" s="36" t="s">
        <v>41</v>
      </c>
      <c r="E4" s="36" t="s">
        <v>42</v>
      </c>
      <c r="F4" s="36" t="s">
        <v>43</v>
      </c>
      <c r="G4" s="36" t="s">
        <v>44</v>
      </c>
      <c r="H4" s="36" t="s">
        <v>45</v>
      </c>
      <c r="I4" s="36" t="s">
        <v>46</v>
      </c>
    </row>
    <row r="5" spans="1:9" ht="21.75" customHeight="1">
      <c r="A5" s="128" t="s">
        <v>47</v>
      </c>
      <c r="B5" s="109"/>
      <c r="C5" s="109"/>
      <c r="D5" s="109"/>
      <c r="E5" s="109"/>
      <c r="F5" s="109"/>
      <c r="G5" s="109"/>
      <c r="H5" s="109"/>
      <c r="I5" s="110"/>
    </row>
    <row r="6" spans="1:9" ht="19.5" customHeight="1">
      <c r="A6" s="37" t="s">
        <v>48</v>
      </c>
      <c r="B6" s="38" t="s">
        <v>49</v>
      </c>
      <c r="C6" s="39" t="s">
        <v>50</v>
      </c>
      <c r="D6" s="37" t="s">
        <v>30</v>
      </c>
      <c r="E6" s="40" t="str">
        <f t="shared" ref="E6:E15" si="0">IF(G6="Pass","✅","")</f>
        <v>✅</v>
      </c>
      <c r="F6" s="40" t="str">
        <f t="shared" ref="F6:F15" si="1">IF(G6="Fail","❌","")</f>
        <v/>
      </c>
      <c r="G6" s="41" t="s">
        <v>42</v>
      </c>
      <c r="H6" s="38"/>
      <c r="I6" s="42" t="s">
        <v>51</v>
      </c>
    </row>
    <row r="7" spans="1:9" ht="19.5" customHeight="1">
      <c r="A7" s="43" t="s">
        <v>52</v>
      </c>
      <c r="B7" s="44" t="s">
        <v>53</v>
      </c>
      <c r="C7" s="45" t="s">
        <v>54</v>
      </c>
      <c r="D7" s="43" t="s">
        <v>24</v>
      </c>
      <c r="E7" s="46" t="str">
        <f t="shared" si="0"/>
        <v>✅</v>
      </c>
      <c r="F7" s="46" t="str">
        <f t="shared" si="1"/>
        <v/>
      </c>
      <c r="G7" s="47" t="s">
        <v>42</v>
      </c>
      <c r="H7" s="44"/>
      <c r="I7" s="42" t="s">
        <v>51</v>
      </c>
    </row>
    <row r="8" spans="1:9" ht="34.5" customHeight="1">
      <c r="A8" s="37" t="s">
        <v>55</v>
      </c>
      <c r="B8" s="38" t="s">
        <v>56</v>
      </c>
      <c r="C8" s="42" t="s">
        <v>57</v>
      </c>
      <c r="D8" s="37" t="s">
        <v>30</v>
      </c>
      <c r="E8" s="40" t="str">
        <f t="shared" si="0"/>
        <v>✅</v>
      </c>
      <c r="F8" s="40" t="str">
        <f t="shared" si="1"/>
        <v/>
      </c>
      <c r="G8" s="41" t="s">
        <v>42</v>
      </c>
      <c r="H8" s="145" t="s">
        <v>941</v>
      </c>
      <c r="I8" s="42" t="s">
        <v>51</v>
      </c>
    </row>
    <row r="9" spans="1:9" ht="19.5" customHeight="1">
      <c r="A9" s="48" t="s">
        <v>58</v>
      </c>
      <c r="B9" s="49" t="s">
        <v>59</v>
      </c>
      <c r="C9" s="50" t="s">
        <v>60</v>
      </c>
      <c r="D9" s="48" t="s">
        <v>27</v>
      </c>
      <c r="E9" s="51" t="str">
        <f t="shared" si="0"/>
        <v>✅</v>
      </c>
      <c r="F9" s="51" t="str">
        <f t="shared" si="1"/>
        <v/>
      </c>
      <c r="G9" s="52" t="s">
        <v>42</v>
      </c>
      <c r="H9" s="49"/>
      <c r="I9" s="42" t="s">
        <v>51</v>
      </c>
    </row>
    <row r="10" spans="1:9" ht="19.5" customHeight="1">
      <c r="A10" s="37" t="s">
        <v>61</v>
      </c>
      <c r="B10" s="38" t="s">
        <v>62</v>
      </c>
      <c r="C10" s="39" t="s">
        <v>63</v>
      </c>
      <c r="D10" s="37" t="s">
        <v>30</v>
      </c>
      <c r="E10" s="40" t="str">
        <f t="shared" si="0"/>
        <v>✅</v>
      </c>
      <c r="F10" s="40" t="str">
        <f t="shared" si="1"/>
        <v/>
      </c>
      <c r="G10" s="41" t="s">
        <v>42</v>
      </c>
      <c r="H10" s="38"/>
      <c r="I10" s="42" t="s">
        <v>51</v>
      </c>
    </row>
    <row r="11" spans="1:9" ht="19.5" customHeight="1">
      <c r="A11" s="37" t="s">
        <v>64</v>
      </c>
      <c r="B11" s="38" t="s">
        <v>65</v>
      </c>
      <c r="C11" s="39" t="s">
        <v>66</v>
      </c>
      <c r="D11" s="37" t="s">
        <v>30</v>
      </c>
      <c r="E11" s="40" t="str">
        <f t="shared" si="0"/>
        <v>✅</v>
      </c>
      <c r="F11" s="40" t="str">
        <f t="shared" si="1"/>
        <v/>
      </c>
      <c r="G11" s="41" t="s">
        <v>42</v>
      </c>
      <c r="H11" s="38"/>
      <c r="I11" s="42" t="s">
        <v>51</v>
      </c>
    </row>
    <row r="12" spans="1:9" ht="19.5" customHeight="1">
      <c r="A12" s="48" t="s">
        <v>67</v>
      </c>
      <c r="B12" s="49" t="s">
        <v>68</v>
      </c>
      <c r="C12" s="50" t="s">
        <v>69</v>
      </c>
      <c r="D12" s="48" t="s">
        <v>27</v>
      </c>
      <c r="E12" s="51" t="str">
        <f t="shared" si="0"/>
        <v>✅</v>
      </c>
      <c r="F12" s="51" t="str">
        <f t="shared" si="1"/>
        <v/>
      </c>
      <c r="G12" s="52" t="s">
        <v>42</v>
      </c>
      <c r="H12" s="49"/>
      <c r="I12" s="42" t="s">
        <v>51</v>
      </c>
    </row>
    <row r="13" spans="1:9" ht="19.5" customHeight="1">
      <c r="A13" s="48" t="s">
        <v>70</v>
      </c>
      <c r="B13" s="49" t="s">
        <v>71</v>
      </c>
      <c r="C13" s="50" t="s">
        <v>72</v>
      </c>
      <c r="D13" s="48" t="s">
        <v>27</v>
      </c>
      <c r="E13" s="51" t="str">
        <f t="shared" si="0"/>
        <v>✅</v>
      </c>
      <c r="F13" s="51" t="str">
        <f t="shared" si="1"/>
        <v/>
      </c>
      <c r="G13" s="52" t="s">
        <v>42</v>
      </c>
      <c r="H13" s="49"/>
      <c r="I13" s="42" t="s">
        <v>51</v>
      </c>
    </row>
    <row r="14" spans="1:9" ht="19.5" customHeight="1">
      <c r="A14" s="48" t="s">
        <v>73</v>
      </c>
      <c r="B14" s="49" t="s">
        <v>74</v>
      </c>
      <c r="C14" s="50" t="s">
        <v>75</v>
      </c>
      <c r="D14" s="48" t="s">
        <v>27</v>
      </c>
      <c r="E14" s="51" t="str">
        <f t="shared" si="0"/>
        <v>✅</v>
      </c>
      <c r="F14" s="51" t="str">
        <f t="shared" si="1"/>
        <v/>
      </c>
      <c r="G14" s="52" t="s">
        <v>42</v>
      </c>
      <c r="H14" s="49"/>
      <c r="I14" s="42" t="s">
        <v>51</v>
      </c>
    </row>
    <row r="15" spans="1:9" ht="19.5" customHeight="1">
      <c r="A15" s="43" t="s">
        <v>76</v>
      </c>
      <c r="B15" s="44" t="s">
        <v>77</v>
      </c>
      <c r="C15" s="45" t="s">
        <v>54</v>
      </c>
      <c r="D15" s="43" t="s">
        <v>24</v>
      </c>
      <c r="E15" s="46" t="str">
        <f t="shared" si="0"/>
        <v>✅</v>
      </c>
      <c r="F15" s="46" t="str">
        <f t="shared" si="1"/>
        <v/>
      </c>
      <c r="G15" s="47" t="s">
        <v>42</v>
      </c>
      <c r="H15" s="44"/>
      <c r="I15" s="42" t="s">
        <v>51</v>
      </c>
    </row>
    <row r="16" spans="1:9" ht="21.75" customHeight="1">
      <c r="A16" s="128" t="s">
        <v>78</v>
      </c>
      <c r="B16" s="109"/>
      <c r="C16" s="109"/>
      <c r="D16" s="109"/>
      <c r="E16" s="109"/>
      <c r="F16" s="109"/>
      <c r="G16" s="109"/>
      <c r="H16" s="109"/>
      <c r="I16" s="110"/>
    </row>
    <row r="17" spans="1:9" ht="19.5" customHeight="1">
      <c r="A17" s="48" t="s">
        <v>79</v>
      </c>
      <c r="B17" s="49" t="s">
        <v>80</v>
      </c>
      <c r="C17" s="50" t="s">
        <v>54</v>
      </c>
      <c r="D17" s="48" t="s">
        <v>27</v>
      </c>
      <c r="E17" s="51" t="str">
        <f t="shared" ref="E17:E26" si="2">IF(G17="Pass","✅","")</f>
        <v>✅</v>
      </c>
      <c r="F17" s="51" t="str">
        <f t="shared" ref="F17:F26" si="3">IF(G17="Fail","❌","")</f>
        <v/>
      </c>
      <c r="G17" s="52" t="s">
        <v>42</v>
      </c>
      <c r="H17" s="49"/>
      <c r="I17" s="42" t="s">
        <v>51</v>
      </c>
    </row>
    <row r="18" spans="1:9" ht="19.5" customHeight="1">
      <c r="A18" s="48" t="s">
        <v>81</v>
      </c>
      <c r="B18" s="49" t="s">
        <v>82</v>
      </c>
      <c r="C18" s="50" t="s">
        <v>83</v>
      </c>
      <c r="D18" s="48" t="s">
        <v>27</v>
      </c>
      <c r="E18" s="51" t="str">
        <f t="shared" si="2"/>
        <v>✅</v>
      </c>
      <c r="F18" s="51" t="str">
        <f t="shared" si="3"/>
        <v/>
      </c>
      <c r="G18" s="52" t="s">
        <v>42</v>
      </c>
      <c r="H18" s="49"/>
      <c r="I18" s="42" t="s">
        <v>51</v>
      </c>
    </row>
    <row r="19" spans="1:9" ht="19.5" customHeight="1">
      <c r="A19" s="37" t="s">
        <v>84</v>
      </c>
      <c r="B19" s="38" t="s">
        <v>85</v>
      </c>
      <c r="C19" s="39" t="s">
        <v>86</v>
      </c>
      <c r="D19" s="37" t="s">
        <v>30</v>
      </c>
      <c r="E19" s="40" t="str">
        <f t="shared" si="2"/>
        <v>✅</v>
      </c>
      <c r="F19" s="40" t="str">
        <f t="shared" si="3"/>
        <v/>
      </c>
      <c r="G19" s="41" t="s">
        <v>42</v>
      </c>
      <c r="H19" s="38"/>
      <c r="I19" s="42" t="s">
        <v>51</v>
      </c>
    </row>
    <row r="20" spans="1:9" ht="19.5" customHeight="1">
      <c r="A20" s="48" t="s">
        <v>87</v>
      </c>
      <c r="B20" s="49" t="s">
        <v>88</v>
      </c>
      <c r="C20" s="50" t="s">
        <v>89</v>
      </c>
      <c r="D20" s="48" t="s">
        <v>27</v>
      </c>
      <c r="E20" s="51" t="str">
        <f t="shared" si="2"/>
        <v>✅</v>
      </c>
      <c r="F20" s="51" t="str">
        <f t="shared" si="3"/>
        <v/>
      </c>
      <c r="G20" s="52" t="s">
        <v>42</v>
      </c>
      <c r="H20" s="49"/>
      <c r="I20" s="42" t="s">
        <v>51</v>
      </c>
    </row>
    <row r="21" spans="1:9" ht="19.5" customHeight="1">
      <c r="A21" s="48" t="s">
        <v>90</v>
      </c>
      <c r="B21" s="49" t="s">
        <v>91</v>
      </c>
      <c r="C21" s="50" t="s">
        <v>92</v>
      </c>
      <c r="D21" s="48" t="s">
        <v>27</v>
      </c>
      <c r="E21" s="51" t="str">
        <f t="shared" si="2"/>
        <v>✅</v>
      </c>
      <c r="F21" s="51" t="str">
        <f t="shared" si="3"/>
        <v/>
      </c>
      <c r="G21" s="52" t="s">
        <v>42</v>
      </c>
      <c r="H21" s="49"/>
      <c r="I21" s="42" t="s">
        <v>51</v>
      </c>
    </row>
    <row r="22" spans="1:9" ht="19.5" customHeight="1">
      <c r="A22" s="37" t="s">
        <v>93</v>
      </c>
      <c r="B22" s="38" t="s">
        <v>94</v>
      </c>
      <c r="C22" s="39" t="s">
        <v>92</v>
      </c>
      <c r="D22" s="37" t="s">
        <v>30</v>
      </c>
      <c r="E22" s="40" t="str">
        <f t="shared" si="2"/>
        <v>✅</v>
      </c>
      <c r="F22" s="40" t="str">
        <f t="shared" si="3"/>
        <v/>
      </c>
      <c r="G22" s="41" t="s">
        <v>42</v>
      </c>
      <c r="H22" s="38"/>
      <c r="I22" s="42" t="s">
        <v>51</v>
      </c>
    </row>
    <row r="23" spans="1:9" ht="19.5" customHeight="1">
      <c r="A23" s="37" t="s">
        <v>95</v>
      </c>
      <c r="B23" s="38" t="s">
        <v>96</v>
      </c>
      <c r="C23" s="39" t="s">
        <v>54</v>
      </c>
      <c r="D23" s="37" t="s">
        <v>30</v>
      </c>
      <c r="E23" s="40" t="str">
        <f t="shared" si="2"/>
        <v>✅</v>
      </c>
      <c r="F23" s="40" t="str">
        <f t="shared" si="3"/>
        <v/>
      </c>
      <c r="G23" s="41" t="s">
        <v>42</v>
      </c>
      <c r="H23" s="38"/>
      <c r="I23" s="42" t="s">
        <v>51</v>
      </c>
    </row>
    <row r="24" spans="1:9" ht="19.5" customHeight="1">
      <c r="A24" s="48" t="s">
        <v>97</v>
      </c>
      <c r="B24" s="49" t="s">
        <v>98</v>
      </c>
      <c r="C24" s="50" t="s">
        <v>99</v>
      </c>
      <c r="D24" s="48" t="s">
        <v>27</v>
      </c>
      <c r="E24" s="51" t="str">
        <f t="shared" si="2"/>
        <v>✅</v>
      </c>
      <c r="F24" s="51" t="str">
        <f t="shared" si="3"/>
        <v/>
      </c>
      <c r="G24" s="52" t="s">
        <v>42</v>
      </c>
      <c r="H24" s="49"/>
      <c r="I24" s="42" t="s">
        <v>51</v>
      </c>
    </row>
    <row r="25" spans="1:9" ht="19.5" customHeight="1">
      <c r="A25" s="53" t="s">
        <v>100</v>
      </c>
      <c r="B25" s="54" t="s">
        <v>101</v>
      </c>
      <c r="C25" s="55" t="s">
        <v>102</v>
      </c>
      <c r="D25" s="53" t="s">
        <v>33</v>
      </c>
      <c r="E25" s="56" t="str">
        <f t="shared" si="2"/>
        <v>✅</v>
      </c>
      <c r="F25" s="56" t="str">
        <f t="shared" si="3"/>
        <v/>
      </c>
      <c r="G25" s="57" t="s">
        <v>42</v>
      </c>
      <c r="H25" s="54"/>
      <c r="I25" s="42" t="s">
        <v>51</v>
      </c>
    </row>
    <row r="26" spans="1:9" ht="19.5" customHeight="1">
      <c r="A26" s="53" t="s">
        <v>103</v>
      </c>
      <c r="B26" s="54" t="s">
        <v>104</v>
      </c>
      <c r="C26" s="55" t="s">
        <v>105</v>
      </c>
      <c r="D26" s="53" t="s">
        <v>33</v>
      </c>
      <c r="E26" s="56" t="str">
        <f t="shared" si="2"/>
        <v>✅</v>
      </c>
      <c r="F26" s="56" t="str">
        <f t="shared" si="3"/>
        <v/>
      </c>
      <c r="G26" s="57" t="s">
        <v>42</v>
      </c>
      <c r="H26" s="54"/>
      <c r="I26" s="42" t="s">
        <v>51</v>
      </c>
    </row>
    <row r="27" spans="1:9" ht="21.75" customHeight="1">
      <c r="A27" s="128" t="s">
        <v>106</v>
      </c>
      <c r="B27" s="109"/>
      <c r="C27" s="109"/>
      <c r="D27" s="109"/>
      <c r="E27" s="109"/>
      <c r="F27" s="109"/>
      <c r="G27" s="109"/>
      <c r="H27" s="109"/>
      <c r="I27" s="110"/>
    </row>
    <row r="28" spans="1:9" ht="19.5" customHeight="1">
      <c r="A28" s="48" t="s">
        <v>107</v>
      </c>
      <c r="B28" s="49" t="s">
        <v>108</v>
      </c>
      <c r="C28" s="50" t="s">
        <v>54</v>
      </c>
      <c r="D28" s="48" t="s">
        <v>27</v>
      </c>
      <c r="E28" s="51" t="str">
        <f t="shared" ref="E28:E37" si="4">IF(G28="Pass","✅","")</f>
        <v>✅</v>
      </c>
      <c r="F28" s="51" t="str">
        <f t="shared" ref="F28:F37" si="5">IF(G28="Fail","❌","")</f>
        <v/>
      </c>
      <c r="G28" s="52" t="s">
        <v>42</v>
      </c>
      <c r="H28" s="49"/>
      <c r="I28" s="42" t="s">
        <v>51</v>
      </c>
    </row>
    <row r="29" spans="1:9" ht="19.5" customHeight="1">
      <c r="A29" s="48" t="s">
        <v>109</v>
      </c>
      <c r="B29" s="49" t="s">
        <v>110</v>
      </c>
      <c r="C29" s="50" t="s">
        <v>54</v>
      </c>
      <c r="D29" s="48" t="s">
        <v>27</v>
      </c>
      <c r="E29" s="51" t="str">
        <f t="shared" si="4"/>
        <v>✅</v>
      </c>
      <c r="F29" s="51" t="str">
        <f t="shared" si="5"/>
        <v/>
      </c>
      <c r="G29" s="52" t="s">
        <v>42</v>
      </c>
      <c r="H29" s="49"/>
      <c r="I29" s="42" t="s">
        <v>51</v>
      </c>
    </row>
    <row r="30" spans="1:9" ht="19.5" customHeight="1">
      <c r="A30" s="43" t="s">
        <v>111</v>
      </c>
      <c r="B30" s="44" t="s">
        <v>112</v>
      </c>
      <c r="C30" s="45" t="s">
        <v>54</v>
      </c>
      <c r="D30" s="43" t="s">
        <v>24</v>
      </c>
      <c r="E30" s="46" t="str">
        <f t="shared" si="4"/>
        <v>✅</v>
      </c>
      <c r="F30" s="46" t="str">
        <f t="shared" si="5"/>
        <v/>
      </c>
      <c r="G30" s="47" t="s">
        <v>42</v>
      </c>
      <c r="H30" s="44"/>
      <c r="I30" s="42" t="s">
        <v>51</v>
      </c>
    </row>
    <row r="31" spans="1:9" ht="39.75" customHeight="1">
      <c r="A31" s="37" t="s">
        <v>113</v>
      </c>
      <c r="B31" s="38" t="s">
        <v>114</v>
      </c>
      <c r="C31" s="39" t="s">
        <v>115</v>
      </c>
      <c r="D31" s="37" t="s">
        <v>30</v>
      </c>
      <c r="E31" s="40" t="str">
        <f t="shared" si="4"/>
        <v>✅</v>
      </c>
      <c r="F31" s="40" t="str">
        <f t="shared" si="5"/>
        <v/>
      </c>
      <c r="G31" s="41" t="s">
        <v>42</v>
      </c>
      <c r="H31" s="58" t="s">
        <v>116</v>
      </c>
      <c r="I31" s="42" t="s">
        <v>51</v>
      </c>
    </row>
    <row r="32" spans="1:9" ht="19.5" customHeight="1">
      <c r="A32" s="37" t="s">
        <v>117</v>
      </c>
      <c r="B32" s="38" t="s">
        <v>118</v>
      </c>
      <c r="C32" s="39" t="s">
        <v>119</v>
      </c>
      <c r="D32" s="37" t="s">
        <v>30</v>
      </c>
      <c r="E32" s="40" t="str">
        <f t="shared" si="4"/>
        <v>✅</v>
      </c>
      <c r="F32" s="40" t="str">
        <f t="shared" si="5"/>
        <v/>
      </c>
      <c r="G32" s="41" t="s">
        <v>42</v>
      </c>
      <c r="H32" s="38"/>
      <c r="I32" s="42" t="s">
        <v>51</v>
      </c>
    </row>
    <row r="33" spans="1:9" ht="19.5" customHeight="1">
      <c r="A33" s="48" t="s">
        <v>120</v>
      </c>
      <c r="B33" s="49" t="s">
        <v>121</v>
      </c>
      <c r="C33" s="50" t="s">
        <v>122</v>
      </c>
      <c r="D33" s="48" t="s">
        <v>27</v>
      </c>
      <c r="E33" s="51" t="str">
        <f t="shared" si="4"/>
        <v>✅</v>
      </c>
      <c r="F33" s="51" t="str">
        <f t="shared" si="5"/>
        <v/>
      </c>
      <c r="G33" s="52" t="s">
        <v>42</v>
      </c>
      <c r="H33" s="49"/>
      <c r="I33" s="42" t="s">
        <v>51</v>
      </c>
    </row>
    <row r="34" spans="1:9" ht="19.5" customHeight="1">
      <c r="A34" s="48" t="s">
        <v>123</v>
      </c>
      <c r="B34" s="49" t="s">
        <v>124</v>
      </c>
      <c r="C34" s="50" t="s">
        <v>125</v>
      </c>
      <c r="D34" s="48" t="s">
        <v>27</v>
      </c>
      <c r="E34" s="51" t="str">
        <f t="shared" si="4"/>
        <v>✅</v>
      </c>
      <c r="F34" s="51" t="str">
        <f t="shared" si="5"/>
        <v/>
      </c>
      <c r="G34" s="52" t="s">
        <v>42</v>
      </c>
      <c r="H34" s="49"/>
      <c r="I34" s="42" t="s">
        <v>51</v>
      </c>
    </row>
    <row r="35" spans="1:9" ht="19.5" customHeight="1">
      <c r="A35" s="48" t="s">
        <v>126</v>
      </c>
      <c r="B35" s="49" t="s">
        <v>127</v>
      </c>
      <c r="C35" s="50" t="s">
        <v>128</v>
      </c>
      <c r="D35" s="48" t="s">
        <v>27</v>
      </c>
      <c r="E35" s="51" t="str">
        <f t="shared" si="4"/>
        <v>✅</v>
      </c>
      <c r="F35" s="51" t="str">
        <f t="shared" si="5"/>
        <v/>
      </c>
      <c r="G35" s="52" t="s">
        <v>42</v>
      </c>
      <c r="H35" s="49"/>
      <c r="I35" s="42" t="s">
        <v>51</v>
      </c>
    </row>
    <row r="36" spans="1:9" ht="19.5" customHeight="1">
      <c r="A36" s="48" t="s">
        <v>129</v>
      </c>
      <c r="B36" s="49" t="s">
        <v>130</v>
      </c>
      <c r="C36" s="50" t="s">
        <v>131</v>
      </c>
      <c r="D36" s="48" t="s">
        <v>27</v>
      </c>
      <c r="E36" s="51" t="str">
        <f t="shared" si="4"/>
        <v>✅</v>
      </c>
      <c r="F36" s="51" t="str">
        <f t="shared" si="5"/>
        <v/>
      </c>
      <c r="G36" s="52" t="s">
        <v>42</v>
      </c>
      <c r="H36" s="49"/>
      <c r="I36" s="42" t="s">
        <v>51</v>
      </c>
    </row>
    <row r="37" spans="1:9" ht="19.5" customHeight="1">
      <c r="A37" s="37" t="s">
        <v>132</v>
      </c>
      <c r="B37" s="38" t="s">
        <v>133</v>
      </c>
      <c r="C37" s="39" t="s">
        <v>54</v>
      </c>
      <c r="D37" s="37" t="s">
        <v>30</v>
      </c>
      <c r="E37" s="40" t="str">
        <f t="shared" si="4"/>
        <v>✅</v>
      </c>
      <c r="F37" s="40" t="str">
        <f t="shared" si="5"/>
        <v/>
      </c>
      <c r="G37" s="41" t="s">
        <v>42</v>
      </c>
      <c r="H37" s="38"/>
      <c r="I37" s="42" t="s">
        <v>51</v>
      </c>
    </row>
    <row r="38" spans="1:9" ht="21.75" customHeight="1">
      <c r="A38" s="128" t="s">
        <v>134</v>
      </c>
      <c r="B38" s="109"/>
      <c r="C38" s="109"/>
      <c r="D38" s="109"/>
      <c r="E38" s="109"/>
      <c r="F38" s="109"/>
      <c r="G38" s="109"/>
      <c r="H38" s="109"/>
      <c r="I38" s="110"/>
    </row>
    <row r="39" spans="1:9" ht="19.5" customHeight="1">
      <c r="A39" s="48" t="s">
        <v>135</v>
      </c>
      <c r="B39" s="49" t="s">
        <v>136</v>
      </c>
      <c r="C39" s="50" t="s">
        <v>99</v>
      </c>
      <c r="D39" s="48" t="s">
        <v>27</v>
      </c>
      <c r="E39" s="51" t="str">
        <f t="shared" ref="E39:E48" si="6">IF(G39="Pass","✅","")</f>
        <v>✅</v>
      </c>
      <c r="F39" s="51" t="str">
        <f t="shared" ref="F39:F48" si="7">IF(G39="Fail","❌","")</f>
        <v/>
      </c>
      <c r="G39" s="52" t="s">
        <v>42</v>
      </c>
      <c r="H39" s="49"/>
      <c r="I39" s="42" t="s">
        <v>51</v>
      </c>
    </row>
    <row r="40" spans="1:9" ht="19.5" customHeight="1">
      <c r="A40" s="43" t="s">
        <v>137</v>
      </c>
      <c r="B40" s="44" t="s">
        <v>138</v>
      </c>
      <c r="C40" s="45" t="s">
        <v>139</v>
      </c>
      <c r="D40" s="43" t="s">
        <v>24</v>
      </c>
      <c r="E40" s="46" t="str">
        <f t="shared" si="6"/>
        <v>✅</v>
      </c>
      <c r="F40" s="46" t="str">
        <f t="shared" si="7"/>
        <v/>
      </c>
      <c r="G40" s="47" t="s">
        <v>42</v>
      </c>
      <c r="H40" s="44"/>
      <c r="I40" s="42" t="s">
        <v>51</v>
      </c>
    </row>
    <row r="41" spans="1:9" ht="19.5" customHeight="1">
      <c r="A41" s="37" t="s">
        <v>140</v>
      </c>
      <c r="B41" s="38" t="s">
        <v>141</v>
      </c>
      <c r="C41" s="39" t="s">
        <v>142</v>
      </c>
      <c r="D41" s="37" t="s">
        <v>30</v>
      </c>
      <c r="E41" s="40" t="str">
        <f t="shared" si="6"/>
        <v>✅</v>
      </c>
      <c r="F41" s="40" t="str">
        <f t="shared" si="7"/>
        <v/>
      </c>
      <c r="G41" s="41" t="s">
        <v>42</v>
      </c>
      <c r="H41" s="38"/>
      <c r="I41" s="42" t="s">
        <v>51</v>
      </c>
    </row>
    <row r="42" spans="1:9" ht="19.5" customHeight="1">
      <c r="A42" s="37" t="s">
        <v>143</v>
      </c>
      <c r="B42" s="38" t="s">
        <v>144</v>
      </c>
      <c r="C42" s="39" t="s">
        <v>145</v>
      </c>
      <c r="D42" s="37" t="s">
        <v>30</v>
      </c>
      <c r="E42" s="40" t="str">
        <f t="shared" si="6"/>
        <v>✅</v>
      </c>
      <c r="F42" s="40" t="str">
        <f t="shared" si="7"/>
        <v/>
      </c>
      <c r="G42" s="41" t="s">
        <v>42</v>
      </c>
      <c r="H42" s="38"/>
      <c r="I42" s="42" t="s">
        <v>51</v>
      </c>
    </row>
    <row r="43" spans="1:9" ht="19.5" customHeight="1">
      <c r="A43" s="37" t="s">
        <v>146</v>
      </c>
      <c r="B43" s="38" t="s">
        <v>147</v>
      </c>
      <c r="C43" s="39" t="s">
        <v>145</v>
      </c>
      <c r="D43" s="37" t="s">
        <v>30</v>
      </c>
      <c r="E43" s="40" t="str">
        <f t="shared" si="6"/>
        <v>✅</v>
      </c>
      <c r="F43" s="40" t="str">
        <f t="shared" si="7"/>
        <v/>
      </c>
      <c r="G43" s="41" t="s">
        <v>42</v>
      </c>
      <c r="H43" s="38"/>
      <c r="I43" s="42" t="s">
        <v>51</v>
      </c>
    </row>
    <row r="44" spans="1:9" ht="19.5" customHeight="1">
      <c r="A44" s="48" t="s">
        <v>148</v>
      </c>
      <c r="B44" s="49" t="s">
        <v>149</v>
      </c>
      <c r="C44" s="50" t="s">
        <v>142</v>
      </c>
      <c r="D44" s="48" t="s">
        <v>27</v>
      </c>
      <c r="E44" s="51" t="str">
        <f t="shared" si="6"/>
        <v>✅</v>
      </c>
      <c r="F44" s="51" t="str">
        <f t="shared" si="7"/>
        <v/>
      </c>
      <c r="G44" s="52" t="s">
        <v>42</v>
      </c>
      <c r="H44" s="49"/>
      <c r="I44" s="42" t="s">
        <v>51</v>
      </c>
    </row>
    <row r="45" spans="1:9" ht="19.5" customHeight="1">
      <c r="A45" s="37" t="s">
        <v>150</v>
      </c>
      <c r="B45" s="38" t="s">
        <v>151</v>
      </c>
      <c r="C45" s="39" t="s">
        <v>152</v>
      </c>
      <c r="D45" s="37" t="s">
        <v>30</v>
      </c>
      <c r="E45" s="40" t="str">
        <f t="shared" si="6"/>
        <v>✅</v>
      </c>
      <c r="F45" s="40" t="str">
        <f t="shared" si="7"/>
        <v/>
      </c>
      <c r="G45" s="41" t="s">
        <v>42</v>
      </c>
      <c r="H45" s="38"/>
      <c r="I45" s="42" t="s">
        <v>51</v>
      </c>
    </row>
    <row r="46" spans="1:9" ht="75" customHeight="1">
      <c r="A46" s="48" t="s">
        <v>153</v>
      </c>
      <c r="B46" s="49" t="s">
        <v>154</v>
      </c>
      <c r="C46" s="50" t="s">
        <v>155</v>
      </c>
      <c r="D46" s="48" t="s">
        <v>27</v>
      </c>
      <c r="E46" s="51" t="str">
        <f t="shared" si="6"/>
        <v>✅</v>
      </c>
      <c r="F46" s="51" t="str">
        <f t="shared" si="7"/>
        <v/>
      </c>
      <c r="G46" s="52" t="s">
        <v>42</v>
      </c>
      <c r="H46" s="59" t="s">
        <v>156</v>
      </c>
      <c r="I46" s="42" t="s">
        <v>51</v>
      </c>
    </row>
    <row r="47" spans="1:9" ht="19.5" customHeight="1">
      <c r="A47" s="37" t="s">
        <v>157</v>
      </c>
      <c r="B47" s="38" t="s">
        <v>158</v>
      </c>
      <c r="C47" s="39" t="s">
        <v>102</v>
      </c>
      <c r="D47" s="37" t="s">
        <v>30</v>
      </c>
      <c r="E47" s="40" t="str">
        <f t="shared" si="6"/>
        <v>✅</v>
      </c>
      <c r="F47" s="40" t="str">
        <f t="shared" si="7"/>
        <v/>
      </c>
      <c r="G47" s="41" t="s">
        <v>42</v>
      </c>
      <c r="H47" s="38"/>
      <c r="I47" s="42" t="s">
        <v>51</v>
      </c>
    </row>
    <row r="48" spans="1:9" ht="19.5" customHeight="1">
      <c r="A48" s="43" t="s">
        <v>159</v>
      </c>
      <c r="B48" s="44" t="s">
        <v>160</v>
      </c>
      <c r="C48" s="45" t="s">
        <v>161</v>
      </c>
      <c r="D48" s="43" t="s">
        <v>24</v>
      </c>
      <c r="E48" s="46" t="str">
        <f t="shared" si="6"/>
        <v/>
      </c>
      <c r="F48" s="46" t="str">
        <f t="shared" si="7"/>
        <v/>
      </c>
      <c r="G48" s="47" t="s">
        <v>162</v>
      </c>
      <c r="H48" s="44"/>
      <c r="I48" s="42" t="s">
        <v>51</v>
      </c>
    </row>
    <row r="49" spans="1:9" ht="21.75" customHeight="1">
      <c r="A49" s="128" t="s">
        <v>163</v>
      </c>
      <c r="B49" s="109"/>
      <c r="C49" s="109"/>
      <c r="D49" s="109"/>
      <c r="E49" s="109"/>
      <c r="F49" s="109"/>
      <c r="G49" s="109"/>
      <c r="H49" s="109"/>
      <c r="I49" s="110"/>
    </row>
    <row r="50" spans="1:9" ht="19.5" customHeight="1">
      <c r="A50" s="37" t="s">
        <v>164</v>
      </c>
      <c r="B50" s="38" t="s">
        <v>165</v>
      </c>
      <c r="C50" s="39" t="s">
        <v>83</v>
      </c>
      <c r="D50" s="37" t="s">
        <v>30</v>
      </c>
      <c r="E50" s="40" t="str">
        <f t="shared" ref="E50:E59" si="8">IF(G50="Pass","✅","")</f>
        <v>✅</v>
      </c>
      <c r="F50" s="40" t="str">
        <f t="shared" ref="F50:F59" si="9">IF(G50="Fail","❌","")</f>
        <v/>
      </c>
      <c r="G50" s="41" t="s">
        <v>42</v>
      </c>
      <c r="H50" s="38"/>
      <c r="I50" s="42" t="s">
        <v>51</v>
      </c>
    </row>
    <row r="51" spans="1:9" ht="19.5" customHeight="1">
      <c r="A51" s="53" t="s">
        <v>166</v>
      </c>
      <c r="B51" s="54" t="s">
        <v>167</v>
      </c>
      <c r="C51" s="55" t="s">
        <v>86</v>
      </c>
      <c r="D51" s="53" t="s">
        <v>33</v>
      </c>
      <c r="E51" s="56" t="str">
        <f t="shared" si="8"/>
        <v>✅</v>
      </c>
      <c r="F51" s="56" t="str">
        <f t="shared" si="9"/>
        <v/>
      </c>
      <c r="G51" s="57" t="s">
        <v>42</v>
      </c>
      <c r="H51" s="54"/>
      <c r="I51" s="42" t="s">
        <v>51</v>
      </c>
    </row>
    <row r="52" spans="1:9" ht="55.5" customHeight="1">
      <c r="A52" s="37" t="s">
        <v>168</v>
      </c>
      <c r="B52" s="38" t="s">
        <v>169</v>
      </c>
      <c r="C52" s="39" t="s">
        <v>170</v>
      </c>
      <c r="D52" s="37" t="s">
        <v>30</v>
      </c>
      <c r="E52" s="40" t="str">
        <f t="shared" si="8"/>
        <v>✅</v>
      </c>
      <c r="F52" s="40" t="str">
        <f t="shared" si="9"/>
        <v/>
      </c>
      <c r="G52" s="41" t="s">
        <v>42</v>
      </c>
      <c r="H52" s="58" t="s">
        <v>171</v>
      </c>
      <c r="I52" s="42" t="s">
        <v>51</v>
      </c>
    </row>
    <row r="53" spans="1:9" ht="19.5" customHeight="1">
      <c r="A53" s="37" t="s">
        <v>172</v>
      </c>
      <c r="B53" s="38" t="s">
        <v>173</v>
      </c>
      <c r="C53" s="39" t="s">
        <v>72</v>
      </c>
      <c r="D53" s="37" t="s">
        <v>30</v>
      </c>
      <c r="E53" s="40" t="str">
        <f t="shared" si="8"/>
        <v>✅</v>
      </c>
      <c r="F53" s="40" t="str">
        <f t="shared" si="9"/>
        <v/>
      </c>
      <c r="G53" s="41" t="s">
        <v>42</v>
      </c>
      <c r="H53" s="38"/>
      <c r="I53" s="42" t="s">
        <v>51</v>
      </c>
    </row>
    <row r="54" spans="1:9" ht="19.5" customHeight="1">
      <c r="A54" s="48" t="s">
        <v>174</v>
      </c>
      <c r="B54" s="49" t="s">
        <v>175</v>
      </c>
      <c r="C54" s="50" t="s">
        <v>176</v>
      </c>
      <c r="D54" s="48" t="s">
        <v>27</v>
      </c>
      <c r="E54" s="51" t="str">
        <f t="shared" si="8"/>
        <v>✅</v>
      </c>
      <c r="F54" s="51" t="str">
        <f t="shared" si="9"/>
        <v/>
      </c>
      <c r="G54" s="52" t="s">
        <v>42</v>
      </c>
      <c r="H54" s="49"/>
      <c r="I54" s="42" t="s">
        <v>51</v>
      </c>
    </row>
    <row r="55" spans="1:9" ht="19.5" customHeight="1">
      <c r="A55" s="37" t="s">
        <v>177</v>
      </c>
      <c r="B55" s="38" t="s">
        <v>178</v>
      </c>
      <c r="C55" s="39" t="s">
        <v>92</v>
      </c>
      <c r="D55" s="37" t="s">
        <v>30</v>
      </c>
      <c r="E55" s="40" t="str">
        <f t="shared" si="8"/>
        <v>✅</v>
      </c>
      <c r="F55" s="40" t="str">
        <f t="shared" si="9"/>
        <v/>
      </c>
      <c r="G55" s="41" t="s">
        <v>42</v>
      </c>
      <c r="H55" s="38"/>
      <c r="I55" s="42" t="s">
        <v>51</v>
      </c>
    </row>
    <row r="56" spans="1:9" ht="19.5" customHeight="1">
      <c r="A56" s="37" t="s">
        <v>179</v>
      </c>
      <c r="B56" s="38" t="s">
        <v>180</v>
      </c>
      <c r="C56" s="39" t="s">
        <v>181</v>
      </c>
      <c r="D56" s="37" t="s">
        <v>30</v>
      </c>
      <c r="E56" s="40" t="str">
        <f t="shared" si="8"/>
        <v>✅</v>
      </c>
      <c r="F56" s="40" t="str">
        <f t="shared" si="9"/>
        <v/>
      </c>
      <c r="G56" s="41" t="s">
        <v>42</v>
      </c>
      <c r="H56" s="38"/>
      <c r="I56" s="42" t="s">
        <v>51</v>
      </c>
    </row>
    <row r="57" spans="1:9" ht="19.5" customHeight="1">
      <c r="A57" s="53" t="s">
        <v>182</v>
      </c>
      <c r="B57" s="54" t="s">
        <v>183</v>
      </c>
      <c r="C57" s="55" t="s">
        <v>170</v>
      </c>
      <c r="D57" s="53" t="s">
        <v>33</v>
      </c>
      <c r="E57" s="56" t="str">
        <f t="shared" si="8"/>
        <v>✅</v>
      </c>
      <c r="F57" s="56" t="str">
        <f t="shared" si="9"/>
        <v/>
      </c>
      <c r="G57" s="57" t="s">
        <v>42</v>
      </c>
      <c r="H57" s="54"/>
      <c r="I57" s="42" t="s">
        <v>51</v>
      </c>
    </row>
    <row r="58" spans="1:9" ht="43.5" customHeight="1">
      <c r="A58" s="48" t="s">
        <v>184</v>
      </c>
      <c r="B58" s="49" t="s">
        <v>185</v>
      </c>
      <c r="C58" s="50" t="s">
        <v>186</v>
      </c>
      <c r="D58" s="48" t="s">
        <v>27</v>
      </c>
      <c r="E58" s="51" t="str">
        <f t="shared" si="8"/>
        <v/>
      </c>
      <c r="F58" s="51" t="str">
        <f t="shared" si="9"/>
        <v>❌</v>
      </c>
      <c r="G58" s="52" t="s">
        <v>43</v>
      </c>
      <c r="H58" s="59" t="s">
        <v>187</v>
      </c>
      <c r="I58" s="42" t="s">
        <v>51</v>
      </c>
    </row>
    <row r="59" spans="1:9" ht="19.5" customHeight="1">
      <c r="A59" s="37" t="s">
        <v>188</v>
      </c>
      <c r="B59" s="38" t="s">
        <v>189</v>
      </c>
      <c r="C59" s="39" t="s">
        <v>190</v>
      </c>
      <c r="D59" s="37" t="s">
        <v>30</v>
      </c>
      <c r="E59" s="40" t="str">
        <f t="shared" si="8"/>
        <v>✅</v>
      </c>
      <c r="F59" s="40" t="str">
        <f t="shared" si="9"/>
        <v/>
      </c>
      <c r="G59" s="41" t="s">
        <v>42</v>
      </c>
      <c r="H59" s="38"/>
      <c r="I59" s="42" t="s">
        <v>51</v>
      </c>
    </row>
    <row r="60" spans="1:9" ht="15.75" customHeight="1">
      <c r="D60" s="35"/>
      <c r="G60" s="60"/>
    </row>
    <row r="61" spans="1:9" ht="21.75" customHeight="1">
      <c r="A61" s="129" t="s">
        <v>191</v>
      </c>
      <c r="B61" s="110"/>
      <c r="C61" s="61" t="s">
        <v>192</v>
      </c>
      <c r="D61" s="61" t="s">
        <v>193</v>
      </c>
      <c r="E61" s="61" t="s">
        <v>194</v>
      </c>
      <c r="F61" s="61" t="s">
        <v>162</v>
      </c>
      <c r="G61" s="61" t="s">
        <v>7</v>
      </c>
    </row>
    <row r="62" spans="1:9" ht="21.75" customHeight="1">
      <c r="C62" s="62">
        <f>COUNTA(G5:G59)</f>
        <v>50</v>
      </c>
      <c r="D62" s="63">
        <f>COUNTIF(G5:G59,"Pass")</f>
        <v>48</v>
      </c>
      <c r="E62" s="64">
        <f>COUNTIF(G5:G59,"Fail")</f>
        <v>1</v>
      </c>
      <c r="F62" s="65">
        <f>COUNTIF(G5:G59,"Not Run")</f>
        <v>1</v>
      </c>
      <c r="G62" s="66">
        <f>IFERROR(COUNTIF(G5:G59,"Pass")/COUNTA(G5:G59),0)</f>
        <v>0.96</v>
      </c>
    </row>
    <row r="63" spans="1:9" ht="15.75" customHeight="1">
      <c r="D63" s="35"/>
    </row>
    <row r="64" spans="1:9" ht="15.75" customHeight="1">
      <c r="D64" s="35"/>
    </row>
    <row r="65" spans="4:4" ht="15.75" customHeight="1">
      <c r="D65" s="35"/>
    </row>
    <row r="66" spans="4:4" ht="15.75" customHeight="1">
      <c r="D66" s="35"/>
    </row>
    <row r="67" spans="4:4" ht="15.75" customHeight="1">
      <c r="D67" s="35"/>
    </row>
    <row r="68" spans="4:4" ht="15.75" customHeight="1">
      <c r="D68" s="35"/>
    </row>
    <row r="69" spans="4:4" ht="15.75" customHeight="1">
      <c r="D69" s="35"/>
    </row>
    <row r="70" spans="4:4" ht="15.75" customHeight="1">
      <c r="D70" s="35"/>
    </row>
    <row r="71" spans="4:4" ht="15.75" customHeight="1">
      <c r="D71" s="35"/>
    </row>
    <row r="72" spans="4:4" ht="15.75" customHeight="1">
      <c r="D72" s="35"/>
    </row>
    <row r="73" spans="4:4" ht="15.75" customHeight="1">
      <c r="D73" s="35"/>
    </row>
    <row r="74" spans="4:4" ht="15.75" customHeight="1">
      <c r="D74" s="35"/>
    </row>
    <row r="75" spans="4:4" ht="15.75" customHeight="1">
      <c r="D75" s="35"/>
    </row>
    <row r="76" spans="4:4" ht="15.75" customHeight="1">
      <c r="D76" s="35"/>
    </row>
    <row r="77" spans="4:4" ht="15.75" customHeight="1">
      <c r="D77" s="35"/>
    </row>
    <row r="78" spans="4:4" ht="15.75" customHeight="1">
      <c r="D78" s="35"/>
    </row>
    <row r="79" spans="4:4" ht="15.75" customHeight="1">
      <c r="D79" s="35"/>
    </row>
    <row r="80" spans="4:4" ht="15.75" customHeight="1">
      <c r="D80" s="35"/>
    </row>
    <row r="81" spans="4:4" ht="15.75" customHeight="1">
      <c r="D81" s="35"/>
    </row>
    <row r="82" spans="4:4" ht="15.75" customHeight="1">
      <c r="D82" s="35"/>
    </row>
    <row r="83" spans="4:4" ht="15.75" customHeight="1">
      <c r="D83" s="35"/>
    </row>
    <row r="84" spans="4:4" ht="15.75" customHeight="1">
      <c r="D84" s="35"/>
    </row>
    <row r="85" spans="4:4" ht="15.75" customHeight="1">
      <c r="D85" s="35"/>
    </row>
    <row r="86" spans="4:4" ht="15.75" customHeight="1">
      <c r="D86" s="35"/>
    </row>
    <row r="87" spans="4:4" ht="15.75" customHeight="1">
      <c r="D87" s="35"/>
    </row>
    <row r="88" spans="4:4" ht="15.75" customHeight="1">
      <c r="D88" s="35"/>
    </row>
    <row r="89" spans="4:4" ht="15.75" customHeight="1">
      <c r="D89" s="35"/>
    </row>
    <row r="90" spans="4:4" ht="15.75" customHeight="1">
      <c r="D90" s="35"/>
    </row>
    <row r="91" spans="4:4" ht="15.75" customHeight="1">
      <c r="D91" s="35"/>
    </row>
    <row r="92" spans="4:4" ht="15.75" customHeight="1">
      <c r="D92" s="35"/>
    </row>
    <row r="93" spans="4:4" ht="15.75" customHeight="1">
      <c r="D93" s="35"/>
    </row>
    <row r="94" spans="4:4" ht="15.75" customHeight="1">
      <c r="D94" s="35"/>
    </row>
    <row r="95" spans="4:4" ht="15.75" customHeight="1">
      <c r="D95" s="35"/>
    </row>
    <row r="96" spans="4:4" ht="15.75" customHeight="1">
      <c r="D96" s="35"/>
    </row>
    <row r="97" spans="4:4" ht="15.75" customHeight="1">
      <c r="D97" s="35"/>
    </row>
    <row r="98" spans="4:4" ht="15.75" customHeight="1">
      <c r="D98" s="35"/>
    </row>
    <row r="99" spans="4:4" ht="15.75" customHeight="1">
      <c r="D99" s="35"/>
    </row>
    <row r="100" spans="4:4" ht="15.75" customHeight="1">
      <c r="D100" s="35"/>
    </row>
    <row r="101" spans="4:4" ht="15.75" customHeight="1">
      <c r="D101" s="35"/>
    </row>
    <row r="102" spans="4:4" ht="15.75" customHeight="1">
      <c r="D102" s="35"/>
    </row>
    <row r="103" spans="4:4" ht="15.75" customHeight="1">
      <c r="D103" s="35"/>
    </row>
    <row r="104" spans="4:4" ht="15.75" customHeight="1">
      <c r="D104" s="35"/>
    </row>
    <row r="105" spans="4:4" ht="15.75" customHeight="1">
      <c r="D105" s="35"/>
    </row>
    <row r="106" spans="4:4" ht="15.75" customHeight="1">
      <c r="D106" s="35"/>
    </row>
    <row r="107" spans="4:4" ht="15.75" customHeight="1">
      <c r="D107" s="35"/>
    </row>
    <row r="108" spans="4:4" ht="15.75" customHeight="1">
      <c r="D108" s="35"/>
    </row>
    <row r="109" spans="4:4" ht="15.75" customHeight="1">
      <c r="D109" s="35"/>
    </row>
    <row r="110" spans="4:4" ht="15.75" customHeight="1">
      <c r="D110" s="35"/>
    </row>
    <row r="111" spans="4:4" ht="15.75" customHeight="1">
      <c r="D111" s="35"/>
    </row>
    <row r="112" spans="4:4" ht="15.75" customHeight="1">
      <c r="D112" s="35"/>
    </row>
    <row r="113" spans="4:4" ht="15.75" customHeight="1">
      <c r="D113" s="35"/>
    </row>
    <row r="114" spans="4:4" ht="15.75" customHeight="1">
      <c r="D114" s="35"/>
    </row>
    <row r="115" spans="4:4" ht="15.75" customHeight="1">
      <c r="D115" s="35"/>
    </row>
    <row r="116" spans="4:4" ht="15.75" customHeight="1">
      <c r="D116" s="35"/>
    </row>
    <row r="117" spans="4:4" ht="15.75" customHeight="1">
      <c r="D117" s="35"/>
    </row>
    <row r="118" spans="4:4" ht="15.75" customHeight="1">
      <c r="D118" s="35"/>
    </row>
    <row r="119" spans="4:4" ht="15.75" customHeight="1">
      <c r="D119" s="35"/>
    </row>
    <row r="120" spans="4:4" ht="15.75" customHeight="1">
      <c r="D120" s="35"/>
    </row>
    <row r="121" spans="4:4" ht="15.75" customHeight="1">
      <c r="D121" s="35"/>
    </row>
    <row r="122" spans="4:4" ht="15.75" customHeight="1">
      <c r="D122" s="35"/>
    </row>
    <row r="123" spans="4:4" ht="15.75" customHeight="1">
      <c r="D123" s="35"/>
    </row>
    <row r="124" spans="4:4" ht="15.75" customHeight="1">
      <c r="D124" s="35"/>
    </row>
    <row r="125" spans="4:4" ht="15.75" customHeight="1">
      <c r="D125" s="35"/>
    </row>
    <row r="126" spans="4:4" ht="15.75" customHeight="1">
      <c r="D126" s="35"/>
    </row>
    <row r="127" spans="4:4" ht="15.75" customHeight="1">
      <c r="D127" s="35"/>
    </row>
    <row r="128" spans="4:4" ht="15.75" customHeight="1">
      <c r="D128" s="35"/>
    </row>
    <row r="129" spans="4:4" ht="15.75" customHeight="1">
      <c r="D129" s="35"/>
    </row>
    <row r="130" spans="4:4" ht="15.75" customHeight="1">
      <c r="D130" s="35"/>
    </row>
    <row r="131" spans="4:4" ht="15.75" customHeight="1">
      <c r="D131" s="35"/>
    </row>
    <row r="132" spans="4:4" ht="15.75" customHeight="1">
      <c r="D132" s="35"/>
    </row>
    <row r="133" spans="4:4" ht="15.75" customHeight="1">
      <c r="D133" s="35"/>
    </row>
    <row r="134" spans="4:4" ht="15.75" customHeight="1">
      <c r="D134" s="35"/>
    </row>
    <row r="135" spans="4:4" ht="15.75" customHeight="1">
      <c r="D135" s="35"/>
    </row>
    <row r="136" spans="4:4" ht="15.75" customHeight="1">
      <c r="D136" s="35"/>
    </row>
    <row r="137" spans="4:4" ht="15.75" customHeight="1">
      <c r="D137" s="35"/>
    </row>
    <row r="138" spans="4:4" ht="15.75" customHeight="1">
      <c r="D138" s="35"/>
    </row>
    <row r="139" spans="4:4" ht="15.75" customHeight="1">
      <c r="D139" s="35"/>
    </row>
    <row r="140" spans="4:4" ht="15.75" customHeight="1">
      <c r="D140" s="35"/>
    </row>
    <row r="141" spans="4:4" ht="15.75" customHeight="1">
      <c r="D141" s="35"/>
    </row>
    <row r="142" spans="4:4" ht="15.75" customHeight="1">
      <c r="D142" s="35"/>
    </row>
    <row r="143" spans="4:4" ht="15.75" customHeight="1">
      <c r="D143" s="35"/>
    </row>
    <row r="144" spans="4:4" ht="15.75" customHeight="1">
      <c r="D144" s="35"/>
    </row>
    <row r="145" spans="4:4" ht="15.75" customHeight="1">
      <c r="D145" s="35"/>
    </row>
    <row r="146" spans="4:4" ht="15.75" customHeight="1">
      <c r="D146" s="35"/>
    </row>
    <row r="147" spans="4:4" ht="15.75" customHeight="1">
      <c r="D147" s="35"/>
    </row>
    <row r="148" spans="4:4" ht="15.75" customHeight="1">
      <c r="D148" s="35"/>
    </row>
    <row r="149" spans="4:4" ht="15.75" customHeight="1">
      <c r="D149" s="35"/>
    </row>
    <row r="150" spans="4:4" ht="15.75" customHeight="1">
      <c r="D150" s="35"/>
    </row>
    <row r="151" spans="4:4" ht="15.75" customHeight="1">
      <c r="D151" s="35"/>
    </row>
    <row r="152" spans="4:4" ht="15.75" customHeight="1">
      <c r="D152" s="35"/>
    </row>
    <row r="153" spans="4:4" ht="15.75" customHeight="1">
      <c r="D153" s="35"/>
    </row>
    <row r="154" spans="4:4" ht="15.75" customHeight="1">
      <c r="D154" s="35"/>
    </row>
    <row r="155" spans="4:4" ht="15.75" customHeight="1">
      <c r="D155" s="35"/>
    </row>
    <row r="156" spans="4:4" ht="15.75" customHeight="1">
      <c r="D156" s="35"/>
    </row>
    <row r="157" spans="4:4" ht="15.75" customHeight="1">
      <c r="D157" s="35"/>
    </row>
    <row r="158" spans="4:4" ht="15.75" customHeight="1">
      <c r="D158" s="35"/>
    </row>
    <row r="159" spans="4:4" ht="15.75" customHeight="1">
      <c r="D159" s="35"/>
    </row>
    <row r="160" spans="4:4" ht="15.75" customHeight="1">
      <c r="D160" s="35"/>
    </row>
    <row r="161" spans="4:4" ht="15.75" customHeight="1">
      <c r="D161" s="35"/>
    </row>
    <row r="162" spans="4:4" ht="15.75" customHeight="1">
      <c r="D162" s="35"/>
    </row>
    <row r="163" spans="4:4" ht="15.75" customHeight="1">
      <c r="D163" s="35"/>
    </row>
    <row r="164" spans="4:4" ht="15.75" customHeight="1">
      <c r="D164" s="35"/>
    </row>
    <row r="165" spans="4:4" ht="15.75" customHeight="1">
      <c r="D165" s="35"/>
    </row>
    <row r="166" spans="4:4" ht="15.75" customHeight="1">
      <c r="D166" s="35"/>
    </row>
    <row r="167" spans="4:4" ht="15.75" customHeight="1">
      <c r="D167" s="35"/>
    </row>
    <row r="168" spans="4:4" ht="15.75" customHeight="1">
      <c r="D168" s="35"/>
    </row>
    <row r="169" spans="4:4" ht="15.75" customHeight="1">
      <c r="D169" s="35"/>
    </row>
    <row r="170" spans="4:4" ht="15.75" customHeight="1">
      <c r="D170" s="35"/>
    </row>
    <row r="171" spans="4:4" ht="15.75" customHeight="1">
      <c r="D171" s="35"/>
    </row>
    <row r="172" spans="4:4" ht="15.75" customHeight="1">
      <c r="D172" s="35"/>
    </row>
    <row r="173" spans="4:4" ht="15.75" customHeight="1">
      <c r="D173" s="35"/>
    </row>
    <row r="174" spans="4:4" ht="15.75" customHeight="1">
      <c r="D174" s="35"/>
    </row>
    <row r="175" spans="4:4" ht="15.75" customHeight="1">
      <c r="D175" s="35"/>
    </row>
    <row r="176" spans="4:4" ht="15.75" customHeight="1">
      <c r="D176" s="35"/>
    </row>
    <row r="177" spans="4:4" ht="15.75" customHeight="1">
      <c r="D177" s="35"/>
    </row>
    <row r="178" spans="4:4" ht="15.75" customHeight="1">
      <c r="D178" s="35"/>
    </row>
    <row r="179" spans="4:4" ht="15.75" customHeight="1">
      <c r="D179" s="35"/>
    </row>
    <row r="180" spans="4:4" ht="15.75" customHeight="1">
      <c r="D180" s="35"/>
    </row>
    <row r="181" spans="4:4" ht="15.75" customHeight="1">
      <c r="D181" s="35"/>
    </row>
    <row r="182" spans="4:4" ht="15.75" customHeight="1">
      <c r="D182" s="35"/>
    </row>
    <row r="183" spans="4:4" ht="15.75" customHeight="1">
      <c r="D183" s="35"/>
    </row>
    <row r="184" spans="4:4" ht="15.75" customHeight="1">
      <c r="D184" s="35"/>
    </row>
    <row r="185" spans="4:4" ht="15.75" customHeight="1">
      <c r="D185" s="35"/>
    </row>
    <row r="186" spans="4:4" ht="15.75" customHeight="1">
      <c r="D186" s="35"/>
    </row>
    <row r="187" spans="4:4" ht="15.75" customHeight="1">
      <c r="D187" s="35"/>
    </row>
    <row r="188" spans="4:4" ht="15.75" customHeight="1">
      <c r="D188" s="35"/>
    </row>
    <row r="189" spans="4:4" ht="15.75" customHeight="1">
      <c r="D189" s="35"/>
    </row>
    <row r="190" spans="4:4" ht="15.75" customHeight="1">
      <c r="D190" s="35"/>
    </row>
    <row r="191" spans="4:4" ht="15.75" customHeight="1">
      <c r="D191" s="35"/>
    </row>
    <row r="192" spans="4:4" ht="15.75" customHeight="1">
      <c r="D192" s="35"/>
    </row>
    <row r="193" spans="4:4" ht="15.75" customHeight="1">
      <c r="D193" s="35"/>
    </row>
    <row r="194" spans="4:4" ht="15.75" customHeight="1">
      <c r="D194" s="35"/>
    </row>
    <row r="195" spans="4:4" ht="15.75" customHeight="1">
      <c r="D195" s="35"/>
    </row>
    <row r="196" spans="4:4" ht="15.75" customHeight="1">
      <c r="D196" s="35"/>
    </row>
    <row r="197" spans="4:4" ht="15.75" customHeight="1">
      <c r="D197" s="35"/>
    </row>
    <row r="198" spans="4:4" ht="15.75" customHeight="1">
      <c r="D198" s="35"/>
    </row>
    <row r="199" spans="4:4" ht="15.75" customHeight="1">
      <c r="D199" s="35"/>
    </row>
    <row r="200" spans="4:4" ht="15.75" customHeight="1">
      <c r="D200" s="35"/>
    </row>
    <row r="201" spans="4:4" ht="15.75" customHeight="1">
      <c r="D201" s="35"/>
    </row>
    <row r="202" spans="4:4" ht="15.75" customHeight="1">
      <c r="D202" s="35"/>
    </row>
    <row r="203" spans="4:4" ht="15.75" customHeight="1">
      <c r="D203" s="35"/>
    </row>
    <row r="204" spans="4:4" ht="15.75" customHeight="1">
      <c r="D204" s="35"/>
    </row>
    <row r="205" spans="4:4" ht="15.75" customHeight="1">
      <c r="D205" s="35"/>
    </row>
    <row r="206" spans="4:4" ht="15.75" customHeight="1">
      <c r="D206" s="35"/>
    </row>
    <row r="207" spans="4:4" ht="15.75" customHeight="1">
      <c r="D207" s="35"/>
    </row>
    <row r="208" spans="4:4" ht="15.75" customHeight="1">
      <c r="D208" s="35"/>
    </row>
    <row r="209" spans="4:4" ht="15.75" customHeight="1">
      <c r="D209" s="35"/>
    </row>
    <row r="210" spans="4:4" ht="15.75" customHeight="1">
      <c r="D210" s="35"/>
    </row>
    <row r="211" spans="4:4" ht="15.75" customHeight="1">
      <c r="D211" s="35"/>
    </row>
    <row r="212" spans="4:4" ht="15.75" customHeight="1">
      <c r="D212" s="35"/>
    </row>
    <row r="213" spans="4:4" ht="15.75" customHeight="1">
      <c r="D213" s="35"/>
    </row>
    <row r="214" spans="4:4" ht="15.75" customHeight="1">
      <c r="D214" s="35"/>
    </row>
    <row r="215" spans="4:4" ht="15.75" customHeight="1">
      <c r="D215" s="35"/>
    </row>
    <row r="216" spans="4:4" ht="15.75" customHeight="1">
      <c r="D216" s="35"/>
    </row>
    <row r="217" spans="4:4" ht="15.75" customHeight="1">
      <c r="D217" s="35"/>
    </row>
    <row r="218" spans="4:4" ht="15.75" customHeight="1">
      <c r="D218" s="35"/>
    </row>
    <row r="219" spans="4:4" ht="15.75" customHeight="1">
      <c r="D219" s="35"/>
    </row>
    <row r="220" spans="4:4" ht="15.75" customHeight="1">
      <c r="D220" s="35"/>
    </row>
    <row r="221" spans="4:4" ht="15.75" customHeight="1">
      <c r="D221" s="35"/>
    </row>
    <row r="222" spans="4:4" ht="15.75" customHeight="1">
      <c r="D222" s="35"/>
    </row>
    <row r="223" spans="4:4" ht="15.75" customHeight="1">
      <c r="D223" s="35"/>
    </row>
    <row r="224" spans="4:4" ht="15.75" customHeight="1">
      <c r="D224" s="35"/>
    </row>
    <row r="225" spans="4:4" ht="15.75" customHeight="1">
      <c r="D225" s="35"/>
    </row>
    <row r="226" spans="4:4" ht="15.75" customHeight="1">
      <c r="D226" s="35"/>
    </row>
    <row r="227" spans="4:4" ht="15.75" customHeight="1">
      <c r="D227" s="35"/>
    </row>
    <row r="228" spans="4:4" ht="15.75" customHeight="1">
      <c r="D228" s="35"/>
    </row>
    <row r="229" spans="4:4" ht="15.75" customHeight="1">
      <c r="D229" s="35"/>
    </row>
    <row r="230" spans="4:4" ht="15.75" customHeight="1">
      <c r="D230" s="35"/>
    </row>
    <row r="231" spans="4:4" ht="15.75" customHeight="1">
      <c r="D231" s="35"/>
    </row>
    <row r="232" spans="4:4" ht="15.75" customHeight="1">
      <c r="D232" s="35"/>
    </row>
    <row r="233" spans="4:4" ht="15.75" customHeight="1">
      <c r="D233" s="35"/>
    </row>
    <row r="234" spans="4:4" ht="15.75" customHeight="1">
      <c r="D234" s="35"/>
    </row>
    <row r="235" spans="4:4" ht="15.75" customHeight="1">
      <c r="D235" s="35"/>
    </row>
    <row r="236" spans="4:4" ht="15.75" customHeight="1">
      <c r="D236" s="35"/>
    </row>
    <row r="237" spans="4:4" ht="15.75" customHeight="1">
      <c r="D237" s="35"/>
    </row>
    <row r="238" spans="4:4" ht="15.75" customHeight="1">
      <c r="D238" s="35"/>
    </row>
    <row r="239" spans="4:4" ht="15.75" customHeight="1">
      <c r="D239" s="35"/>
    </row>
    <row r="240" spans="4:4" ht="15.75" customHeight="1">
      <c r="D240" s="35"/>
    </row>
    <row r="241" spans="4:4" ht="15.75" customHeight="1">
      <c r="D241" s="35"/>
    </row>
    <row r="242" spans="4:4" ht="15.75" customHeight="1">
      <c r="D242" s="35"/>
    </row>
    <row r="243" spans="4:4" ht="15.75" customHeight="1">
      <c r="D243" s="35"/>
    </row>
    <row r="244" spans="4:4" ht="15.75" customHeight="1">
      <c r="D244" s="35"/>
    </row>
    <row r="245" spans="4:4" ht="15.75" customHeight="1">
      <c r="D245" s="35"/>
    </row>
    <row r="246" spans="4:4" ht="15.75" customHeight="1">
      <c r="D246" s="35"/>
    </row>
    <row r="247" spans="4:4" ht="15.75" customHeight="1">
      <c r="D247" s="35"/>
    </row>
    <row r="248" spans="4:4" ht="15.75" customHeight="1">
      <c r="D248" s="35"/>
    </row>
    <row r="249" spans="4:4" ht="15.75" customHeight="1">
      <c r="D249" s="35"/>
    </row>
    <row r="250" spans="4:4" ht="15.75" customHeight="1">
      <c r="D250" s="35"/>
    </row>
    <row r="251" spans="4:4" ht="15.75" customHeight="1">
      <c r="D251" s="35"/>
    </row>
    <row r="252" spans="4:4" ht="15.75" customHeight="1">
      <c r="D252" s="35"/>
    </row>
    <row r="253" spans="4:4" ht="15.75" customHeight="1">
      <c r="D253" s="35"/>
    </row>
    <row r="254" spans="4:4" ht="15.75" customHeight="1">
      <c r="D254" s="35"/>
    </row>
    <row r="255" spans="4:4" ht="15.75" customHeight="1">
      <c r="D255" s="35"/>
    </row>
    <row r="256" spans="4:4" ht="15.75" customHeight="1">
      <c r="D256" s="35"/>
    </row>
    <row r="257" spans="4:4" ht="15.75" customHeight="1">
      <c r="D257" s="35"/>
    </row>
    <row r="258" spans="4:4" ht="15.75" customHeight="1">
      <c r="D258" s="35"/>
    </row>
    <row r="259" spans="4:4" ht="15.75" customHeight="1">
      <c r="D259" s="35"/>
    </row>
    <row r="260" spans="4:4" ht="15.75" customHeight="1">
      <c r="D260" s="35"/>
    </row>
    <row r="261" spans="4:4" ht="15.75" customHeight="1">
      <c r="D261" s="35"/>
    </row>
    <row r="262" spans="4:4" ht="15.75" customHeight="1">
      <c r="D262" s="35"/>
    </row>
    <row r="263" spans="4:4" ht="15.75" customHeight="1">
      <c r="D263" s="35"/>
    </row>
    <row r="264" spans="4:4" ht="15.75" customHeight="1">
      <c r="D264" s="35"/>
    </row>
    <row r="265" spans="4:4" ht="15.75" customHeight="1">
      <c r="D265" s="35"/>
    </row>
    <row r="266" spans="4:4" ht="15.75" customHeight="1">
      <c r="D266" s="35"/>
    </row>
    <row r="267" spans="4:4" ht="15.75" customHeight="1">
      <c r="D267" s="35"/>
    </row>
    <row r="268" spans="4:4" ht="15.75" customHeight="1">
      <c r="D268" s="35"/>
    </row>
    <row r="269" spans="4:4" ht="15.75" customHeight="1">
      <c r="D269" s="35"/>
    </row>
    <row r="270" spans="4:4" ht="15.75" customHeight="1">
      <c r="D270" s="35"/>
    </row>
    <row r="271" spans="4:4" ht="15.75" customHeight="1">
      <c r="D271" s="35"/>
    </row>
    <row r="272" spans="4:4" ht="15.75" customHeight="1">
      <c r="D272" s="35"/>
    </row>
    <row r="273" spans="4:4" ht="15.75" customHeight="1">
      <c r="D273" s="35"/>
    </row>
    <row r="274" spans="4:4" ht="15.75" customHeight="1">
      <c r="D274" s="35"/>
    </row>
    <row r="275" spans="4:4" ht="15.75" customHeight="1">
      <c r="D275" s="35"/>
    </row>
    <row r="276" spans="4:4" ht="15.75" customHeight="1">
      <c r="D276" s="35"/>
    </row>
    <row r="277" spans="4:4" ht="15.75" customHeight="1">
      <c r="D277" s="35"/>
    </row>
    <row r="278" spans="4:4" ht="15.75" customHeight="1">
      <c r="D278" s="35"/>
    </row>
    <row r="279" spans="4:4" ht="15.75" customHeight="1">
      <c r="D279" s="35"/>
    </row>
    <row r="280" spans="4:4" ht="15.75" customHeight="1">
      <c r="D280" s="35"/>
    </row>
    <row r="281" spans="4:4" ht="15.75" customHeight="1">
      <c r="D281" s="35"/>
    </row>
    <row r="282" spans="4:4" ht="15.75" customHeight="1">
      <c r="D282" s="35"/>
    </row>
    <row r="283" spans="4:4" ht="15.75" customHeight="1">
      <c r="D283" s="35"/>
    </row>
    <row r="284" spans="4:4" ht="15.75" customHeight="1">
      <c r="D284" s="35"/>
    </row>
    <row r="285" spans="4:4" ht="15.75" customHeight="1">
      <c r="D285" s="35"/>
    </row>
    <row r="286" spans="4:4" ht="15.75" customHeight="1">
      <c r="D286" s="35"/>
    </row>
    <row r="287" spans="4:4" ht="15.75" customHeight="1">
      <c r="D287" s="35"/>
    </row>
    <row r="288" spans="4:4" ht="15.75" customHeight="1">
      <c r="D288" s="35"/>
    </row>
    <row r="289" spans="4:4" ht="15.75" customHeight="1">
      <c r="D289" s="35"/>
    </row>
    <row r="290" spans="4:4" ht="15.75" customHeight="1">
      <c r="D290" s="35"/>
    </row>
    <row r="291" spans="4:4" ht="15.75" customHeight="1">
      <c r="D291" s="35"/>
    </row>
    <row r="292" spans="4:4" ht="15.75" customHeight="1">
      <c r="D292" s="35"/>
    </row>
    <row r="293" spans="4:4" ht="15.75" customHeight="1">
      <c r="D293" s="35"/>
    </row>
    <row r="294" spans="4:4" ht="15.75" customHeight="1">
      <c r="D294" s="35"/>
    </row>
    <row r="295" spans="4:4" ht="15.75" customHeight="1">
      <c r="D295" s="35"/>
    </row>
    <row r="296" spans="4:4" ht="15.75" customHeight="1">
      <c r="D296" s="35"/>
    </row>
    <row r="297" spans="4:4" ht="15.75" customHeight="1">
      <c r="D297" s="35"/>
    </row>
    <row r="298" spans="4:4" ht="15.75" customHeight="1">
      <c r="D298" s="35"/>
    </row>
    <row r="299" spans="4:4" ht="15.75" customHeight="1">
      <c r="D299" s="35"/>
    </row>
    <row r="300" spans="4:4" ht="15.75" customHeight="1">
      <c r="D300" s="35"/>
    </row>
    <row r="301" spans="4:4" ht="15.75" customHeight="1">
      <c r="D301" s="35"/>
    </row>
    <row r="302" spans="4:4" ht="15.75" customHeight="1">
      <c r="D302" s="35"/>
    </row>
    <row r="303" spans="4:4" ht="15.75" customHeight="1">
      <c r="D303" s="35"/>
    </row>
    <row r="304" spans="4:4" ht="15.75" customHeight="1">
      <c r="D304" s="35"/>
    </row>
    <row r="305" spans="4:4" ht="15.75" customHeight="1">
      <c r="D305" s="35"/>
    </row>
    <row r="306" spans="4:4" ht="15.75" customHeight="1">
      <c r="D306" s="35"/>
    </row>
    <row r="307" spans="4:4" ht="15.75" customHeight="1">
      <c r="D307" s="35"/>
    </row>
    <row r="308" spans="4:4" ht="15.75" customHeight="1">
      <c r="D308" s="35"/>
    </row>
    <row r="309" spans="4:4" ht="15.75" customHeight="1">
      <c r="D309" s="35"/>
    </row>
    <row r="310" spans="4:4" ht="15.75" customHeight="1">
      <c r="D310" s="35"/>
    </row>
    <row r="311" spans="4:4" ht="15.75" customHeight="1">
      <c r="D311" s="35"/>
    </row>
    <row r="312" spans="4:4" ht="15.75" customHeight="1">
      <c r="D312" s="35"/>
    </row>
    <row r="313" spans="4:4" ht="15.75" customHeight="1">
      <c r="D313" s="35"/>
    </row>
    <row r="314" spans="4:4" ht="15.75" customHeight="1">
      <c r="D314" s="35"/>
    </row>
    <row r="315" spans="4:4" ht="15.75" customHeight="1">
      <c r="D315" s="35"/>
    </row>
    <row r="316" spans="4:4" ht="15.75" customHeight="1">
      <c r="D316" s="35"/>
    </row>
    <row r="317" spans="4:4" ht="15.75" customHeight="1">
      <c r="D317" s="35"/>
    </row>
    <row r="318" spans="4:4" ht="15.75" customHeight="1">
      <c r="D318" s="35"/>
    </row>
    <row r="319" spans="4:4" ht="15.75" customHeight="1">
      <c r="D319" s="35"/>
    </row>
    <row r="320" spans="4:4" ht="15.75" customHeight="1">
      <c r="D320" s="35"/>
    </row>
    <row r="321" spans="4:4" ht="15.75" customHeight="1">
      <c r="D321" s="35"/>
    </row>
    <row r="322" spans="4:4" ht="15.75" customHeight="1">
      <c r="D322" s="35"/>
    </row>
    <row r="323" spans="4:4" ht="15.75" customHeight="1">
      <c r="D323" s="35"/>
    </row>
    <row r="324" spans="4:4" ht="15.75" customHeight="1">
      <c r="D324" s="35"/>
    </row>
    <row r="325" spans="4:4" ht="15.75" customHeight="1">
      <c r="D325" s="35"/>
    </row>
    <row r="326" spans="4:4" ht="15.75" customHeight="1">
      <c r="D326" s="35"/>
    </row>
    <row r="327" spans="4:4" ht="15.75" customHeight="1">
      <c r="D327" s="35"/>
    </row>
    <row r="328" spans="4:4" ht="15.75" customHeight="1">
      <c r="D328" s="35"/>
    </row>
    <row r="329" spans="4:4" ht="15.75" customHeight="1">
      <c r="D329" s="35"/>
    </row>
    <row r="330" spans="4:4" ht="15.75" customHeight="1">
      <c r="D330" s="35"/>
    </row>
    <row r="331" spans="4:4" ht="15.75" customHeight="1">
      <c r="D331" s="35"/>
    </row>
    <row r="332" spans="4:4" ht="15.75" customHeight="1">
      <c r="D332" s="35"/>
    </row>
    <row r="333" spans="4:4" ht="15.75" customHeight="1">
      <c r="D333" s="35"/>
    </row>
    <row r="334" spans="4:4" ht="15.75" customHeight="1">
      <c r="D334" s="35"/>
    </row>
    <row r="335" spans="4:4" ht="15.75" customHeight="1">
      <c r="D335" s="35"/>
    </row>
    <row r="336" spans="4:4" ht="15.75" customHeight="1">
      <c r="D336" s="35"/>
    </row>
    <row r="337" spans="4:4" ht="15.75" customHeight="1">
      <c r="D337" s="35"/>
    </row>
    <row r="338" spans="4:4" ht="15.75" customHeight="1">
      <c r="D338" s="35"/>
    </row>
    <row r="339" spans="4:4" ht="15.75" customHeight="1">
      <c r="D339" s="35"/>
    </row>
    <row r="340" spans="4:4" ht="15.75" customHeight="1">
      <c r="D340" s="35"/>
    </row>
    <row r="341" spans="4:4" ht="15.75" customHeight="1">
      <c r="D341" s="35"/>
    </row>
    <row r="342" spans="4:4" ht="15.75" customHeight="1">
      <c r="D342" s="35"/>
    </row>
    <row r="343" spans="4:4" ht="15.75" customHeight="1">
      <c r="D343" s="35"/>
    </row>
    <row r="344" spans="4:4" ht="15.75" customHeight="1">
      <c r="D344" s="35"/>
    </row>
    <row r="345" spans="4:4" ht="15.75" customHeight="1">
      <c r="D345" s="35"/>
    </row>
    <row r="346" spans="4:4" ht="15.75" customHeight="1">
      <c r="D346" s="35"/>
    </row>
    <row r="347" spans="4:4" ht="15.75" customHeight="1">
      <c r="D347" s="35"/>
    </row>
    <row r="348" spans="4:4" ht="15.75" customHeight="1">
      <c r="D348" s="35"/>
    </row>
    <row r="349" spans="4:4" ht="15.75" customHeight="1">
      <c r="D349" s="35"/>
    </row>
    <row r="350" spans="4:4" ht="15.75" customHeight="1">
      <c r="D350" s="35"/>
    </row>
    <row r="351" spans="4:4" ht="15.75" customHeight="1">
      <c r="D351" s="35"/>
    </row>
    <row r="352" spans="4:4" ht="15.75" customHeight="1">
      <c r="D352" s="35"/>
    </row>
    <row r="353" spans="4:4" ht="15.75" customHeight="1">
      <c r="D353" s="35"/>
    </row>
    <row r="354" spans="4:4" ht="15.75" customHeight="1">
      <c r="D354" s="35"/>
    </row>
    <row r="355" spans="4:4" ht="15.75" customHeight="1">
      <c r="D355" s="35"/>
    </row>
    <row r="356" spans="4:4" ht="15.75" customHeight="1">
      <c r="D356" s="35"/>
    </row>
    <row r="357" spans="4:4" ht="15.75" customHeight="1">
      <c r="D357" s="35"/>
    </row>
    <row r="358" spans="4:4" ht="15.75" customHeight="1">
      <c r="D358" s="35"/>
    </row>
    <row r="359" spans="4:4" ht="15.75" customHeight="1">
      <c r="D359" s="35"/>
    </row>
    <row r="360" spans="4:4" ht="15.75" customHeight="1">
      <c r="D360" s="35"/>
    </row>
    <row r="361" spans="4:4" ht="15.75" customHeight="1">
      <c r="D361" s="35"/>
    </row>
    <row r="362" spans="4:4" ht="15.75" customHeight="1">
      <c r="D362" s="35"/>
    </row>
    <row r="363" spans="4:4" ht="15.75" customHeight="1">
      <c r="D363" s="35"/>
    </row>
    <row r="364" spans="4:4" ht="15.75" customHeight="1">
      <c r="D364" s="35"/>
    </row>
    <row r="365" spans="4:4" ht="15.75" customHeight="1">
      <c r="D365" s="35"/>
    </row>
    <row r="366" spans="4:4" ht="15.75" customHeight="1">
      <c r="D366" s="35"/>
    </row>
    <row r="367" spans="4:4" ht="15.75" customHeight="1">
      <c r="D367" s="35"/>
    </row>
    <row r="368" spans="4:4" ht="15.75" customHeight="1">
      <c r="D368" s="35"/>
    </row>
    <row r="369" spans="4:4" ht="15.75" customHeight="1">
      <c r="D369" s="35"/>
    </row>
    <row r="370" spans="4:4" ht="15.75" customHeight="1">
      <c r="D370" s="35"/>
    </row>
    <row r="371" spans="4:4" ht="15.75" customHeight="1">
      <c r="D371" s="35"/>
    </row>
    <row r="372" spans="4:4" ht="15.75" customHeight="1">
      <c r="D372" s="35"/>
    </row>
    <row r="373" spans="4:4" ht="15.75" customHeight="1">
      <c r="D373" s="35"/>
    </row>
    <row r="374" spans="4:4" ht="15.75" customHeight="1">
      <c r="D374" s="35"/>
    </row>
    <row r="375" spans="4:4" ht="15.75" customHeight="1">
      <c r="D375" s="35"/>
    </row>
    <row r="376" spans="4:4" ht="15.75" customHeight="1">
      <c r="D376" s="35"/>
    </row>
    <row r="377" spans="4:4" ht="15.75" customHeight="1">
      <c r="D377" s="35"/>
    </row>
    <row r="378" spans="4:4" ht="15.75" customHeight="1">
      <c r="D378" s="35"/>
    </row>
    <row r="379" spans="4:4" ht="15.75" customHeight="1">
      <c r="D379" s="35"/>
    </row>
    <row r="380" spans="4:4" ht="15.75" customHeight="1">
      <c r="D380" s="35"/>
    </row>
    <row r="381" spans="4:4" ht="15.75" customHeight="1">
      <c r="D381" s="35"/>
    </row>
    <row r="382" spans="4:4" ht="15.75" customHeight="1">
      <c r="D382" s="35"/>
    </row>
    <row r="383" spans="4:4" ht="15.75" customHeight="1">
      <c r="D383" s="35"/>
    </row>
    <row r="384" spans="4:4" ht="15.75" customHeight="1">
      <c r="D384" s="35"/>
    </row>
    <row r="385" spans="4:4" ht="15.75" customHeight="1">
      <c r="D385" s="35"/>
    </row>
    <row r="386" spans="4:4" ht="15.75" customHeight="1">
      <c r="D386" s="35"/>
    </row>
    <row r="387" spans="4:4" ht="15.75" customHeight="1">
      <c r="D387" s="35"/>
    </row>
    <row r="388" spans="4:4" ht="15.75" customHeight="1">
      <c r="D388" s="35"/>
    </row>
    <row r="389" spans="4:4" ht="15.75" customHeight="1">
      <c r="D389" s="35"/>
    </row>
    <row r="390" spans="4:4" ht="15.75" customHeight="1">
      <c r="D390" s="35"/>
    </row>
    <row r="391" spans="4:4" ht="15.75" customHeight="1">
      <c r="D391" s="35"/>
    </row>
    <row r="392" spans="4:4" ht="15.75" customHeight="1">
      <c r="D392" s="35"/>
    </row>
    <row r="393" spans="4:4" ht="15.75" customHeight="1">
      <c r="D393" s="35"/>
    </row>
    <row r="394" spans="4:4" ht="15.75" customHeight="1">
      <c r="D394" s="35"/>
    </row>
    <row r="395" spans="4:4" ht="15.75" customHeight="1">
      <c r="D395" s="35"/>
    </row>
    <row r="396" spans="4:4" ht="15.75" customHeight="1">
      <c r="D396" s="35"/>
    </row>
    <row r="397" spans="4:4" ht="15.75" customHeight="1">
      <c r="D397" s="35"/>
    </row>
    <row r="398" spans="4:4" ht="15.75" customHeight="1">
      <c r="D398" s="35"/>
    </row>
    <row r="399" spans="4:4" ht="15.75" customHeight="1">
      <c r="D399" s="35"/>
    </row>
    <row r="400" spans="4:4" ht="15.75" customHeight="1">
      <c r="D400" s="35"/>
    </row>
    <row r="401" spans="4:4" ht="15.75" customHeight="1">
      <c r="D401" s="35"/>
    </row>
    <row r="402" spans="4:4" ht="15.75" customHeight="1">
      <c r="D402" s="35"/>
    </row>
    <row r="403" spans="4:4" ht="15.75" customHeight="1">
      <c r="D403" s="35"/>
    </row>
    <row r="404" spans="4:4" ht="15.75" customHeight="1">
      <c r="D404" s="35"/>
    </row>
    <row r="405" spans="4:4" ht="15.75" customHeight="1">
      <c r="D405" s="35"/>
    </row>
    <row r="406" spans="4:4" ht="15.75" customHeight="1">
      <c r="D406" s="35"/>
    </row>
    <row r="407" spans="4:4" ht="15.75" customHeight="1">
      <c r="D407" s="35"/>
    </row>
    <row r="408" spans="4:4" ht="15.75" customHeight="1">
      <c r="D408" s="35"/>
    </row>
    <row r="409" spans="4:4" ht="15.75" customHeight="1">
      <c r="D409" s="35"/>
    </row>
    <row r="410" spans="4:4" ht="15.75" customHeight="1">
      <c r="D410" s="35"/>
    </row>
    <row r="411" spans="4:4" ht="15.75" customHeight="1">
      <c r="D411" s="35"/>
    </row>
    <row r="412" spans="4:4" ht="15.75" customHeight="1">
      <c r="D412" s="35"/>
    </row>
    <row r="413" spans="4:4" ht="15.75" customHeight="1">
      <c r="D413" s="35"/>
    </row>
    <row r="414" spans="4:4" ht="15.75" customHeight="1">
      <c r="D414" s="35"/>
    </row>
    <row r="415" spans="4:4" ht="15.75" customHeight="1">
      <c r="D415" s="35"/>
    </row>
    <row r="416" spans="4:4" ht="15.75" customHeight="1">
      <c r="D416" s="35"/>
    </row>
    <row r="417" spans="4:4" ht="15.75" customHeight="1">
      <c r="D417" s="35"/>
    </row>
    <row r="418" spans="4:4" ht="15.75" customHeight="1">
      <c r="D418" s="35"/>
    </row>
    <row r="419" spans="4:4" ht="15.75" customHeight="1">
      <c r="D419" s="35"/>
    </row>
    <row r="420" spans="4:4" ht="15.75" customHeight="1">
      <c r="D420" s="35"/>
    </row>
    <row r="421" spans="4:4" ht="15.75" customHeight="1">
      <c r="D421" s="35"/>
    </row>
    <row r="422" spans="4:4" ht="15.75" customHeight="1">
      <c r="D422" s="35"/>
    </row>
    <row r="423" spans="4:4" ht="15.75" customHeight="1">
      <c r="D423" s="35"/>
    </row>
    <row r="424" spans="4:4" ht="15.75" customHeight="1">
      <c r="D424" s="35"/>
    </row>
    <row r="425" spans="4:4" ht="15.75" customHeight="1">
      <c r="D425" s="35"/>
    </row>
    <row r="426" spans="4:4" ht="15.75" customHeight="1">
      <c r="D426" s="35"/>
    </row>
    <row r="427" spans="4:4" ht="15.75" customHeight="1">
      <c r="D427" s="35"/>
    </row>
    <row r="428" spans="4:4" ht="15.75" customHeight="1">
      <c r="D428" s="35"/>
    </row>
    <row r="429" spans="4:4" ht="15.75" customHeight="1">
      <c r="D429" s="35"/>
    </row>
    <row r="430" spans="4:4" ht="15.75" customHeight="1">
      <c r="D430" s="35"/>
    </row>
    <row r="431" spans="4:4" ht="15.75" customHeight="1">
      <c r="D431" s="35"/>
    </row>
    <row r="432" spans="4:4" ht="15.75" customHeight="1">
      <c r="D432" s="35"/>
    </row>
    <row r="433" spans="4:4" ht="15.75" customHeight="1">
      <c r="D433" s="35"/>
    </row>
    <row r="434" spans="4:4" ht="15.75" customHeight="1">
      <c r="D434" s="35"/>
    </row>
    <row r="435" spans="4:4" ht="15.75" customHeight="1">
      <c r="D435" s="35"/>
    </row>
    <row r="436" spans="4:4" ht="15.75" customHeight="1">
      <c r="D436" s="35"/>
    </row>
    <row r="437" spans="4:4" ht="15.75" customHeight="1">
      <c r="D437" s="35"/>
    </row>
    <row r="438" spans="4:4" ht="15.75" customHeight="1">
      <c r="D438" s="35"/>
    </row>
    <row r="439" spans="4:4" ht="15.75" customHeight="1">
      <c r="D439" s="35"/>
    </row>
    <row r="440" spans="4:4" ht="15.75" customHeight="1">
      <c r="D440" s="35"/>
    </row>
    <row r="441" spans="4:4" ht="15.75" customHeight="1">
      <c r="D441" s="35"/>
    </row>
    <row r="442" spans="4:4" ht="15.75" customHeight="1">
      <c r="D442" s="35"/>
    </row>
    <row r="443" spans="4:4" ht="15.75" customHeight="1">
      <c r="D443" s="35"/>
    </row>
    <row r="444" spans="4:4" ht="15.75" customHeight="1">
      <c r="D444" s="35"/>
    </row>
    <row r="445" spans="4:4" ht="15.75" customHeight="1">
      <c r="D445" s="35"/>
    </row>
    <row r="446" spans="4:4" ht="15.75" customHeight="1">
      <c r="D446" s="35"/>
    </row>
    <row r="447" spans="4:4" ht="15.75" customHeight="1">
      <c r="D447" s="35"/>
    </row>
    <row r="448" spans="4:4" ht="15.75" customHeight="1">
      <c r="D448" s="35"/>
    </row>
    <row r="449" spans="4:4" ht="15.75" customHeight="1">
      <c r="D449" s="35"/>
    </row>
    <row r="450" spans="4:4" ht="15.75" customHeight="1">
      <c r="D450" s="35"/>
    </row>
    <row r="451" spans="4:4" ht="15.75" customHeight="1">
      <c r="D451" s="35"/>
    </row>
    <row r="452" spans="4:4" ht="15.75" customHeight="1">
      <c r="D452" s="35"/>
    </row>
    <row r="453" spans="4:4" ht="15.75" customHeight="1">
      <c r="D453" s="35"/>
    </row>
    <row r="454" spans="4:4" ht="15.75" customHeight="1">
      <c r="D454" s="35"/>
    </row>
    <row r="455" spans="4:4" ht="15.75" customHeight="1">
      <c r="D455" s="35"/>
    </row>
    <row r="456" spans="4:4" ht="15.75" customHeight="1">
      <c r="D456" s="35"/>
    </row>
    <row r="457" spans="4:4" ht="15.75" customHeight="1">
      <c r="D457" s="35"/>
    </row>
    <row r="458" spans="4:4" ht="15.75" customHeight="1">
      <c r="D458" s="35"/>
    </row>
    <row r="459" spans="4:4" ht="15.75" customHeight="1">
      <c r="D459" s="35"/>
    </row>
    <row r="460" spans="4:4" ht="15.75" customHeight="1">
      <c r="D460" s="35"/>
    </row>
    <row r="461" spans="4:4" ht="15.75" customHeight="1">
      <c r="D461" s="35"/>
    </row>
    <row r="462" spans="4:4" ht="15.75" customHeight="1">
      <c r="D462" s="35"/>
    </row>
    <row r="463" spans="4:4" ht="15.75" customHeight="1">
      <c r="D463" s="35"/>
    </row>
    <row r="464" spans="4:4" ht="15.75" customHeight="1">
      <c r="D464" s="35"/>
    </row>
    <row r="465" spans="4:4" ht="15.75" customHeight="1">
      <c r="D465" s="35"/>
    </row>
    <row r="466" spans="4:4" ht="15.75" customHeight="1">
      <c r="D466" s="35"/>
    </row>
    <row r="467" spans="4:4" ht="15.75" customHeight="1">
      <c r="D467" s="35"/>
    </row>
    <row r="468" spans="4:4" ht="15.75" customHeight="1">
      <c r="D468" s="35"/>
    </row>
    <row r="469" spans="4:4" ht="15.75" customHeight="1">
      <c r="D469" s="35"/>
    </row>
    <row r="470" spans="4:4" ht="15.75" customHeight="1">
      <c r="D470" s="35"/>
    </row>
    <row r="471" spans="4:4" ht="15.75" customHeight="1">
      <c r="D471" s="35"/>
    </row>
    <row r="472" spans="4:4" ht="15.75" customHeight="1">
      <c r="D472" s="35"/>
    </row>
    <row r="473" spans="4:4" ht="15.75" customHeight="1">
      <c r="D473" s="35"/>
    </row>
    <row r="474" spans="4:4" ht="15.75" customHeight="1">
      <c r="D474" s="35"/>
    </row>
    <row r="475" spans="4:4" ht="15.75" customHeight="1">
      <c r="D475" s="35"/>
    </row>
    <row r="476" spans="4:4" ht="15.75" customHeight="1">
      <c r="D476" s="35"/>
    </row>
    <row r="477" spans="4:4" ht="15.75" customHeight="1">
      <c r="D477" s="35"/>
    </row>
    <row r="478" spans="4:4" ht="15.75" customHeight="1">
      <c r="D478" s="35"/>
    </row>
    <row r="479" spans="4:4" ht="15.75" customHeight="1">
      <c r="D479" s="35"/>
    </row>
    <row r="480" spans="4:4" ht="15.75" customHeight="1">
      <c r="D480" s="35"/>
    </row>
    <row r="481" spans="4:4" ht="15.75" customHeight="1">
      <c r="D481" s="35"/>
    </row>
    <row r="482" spans="4:4" ht="15.75" customHeight="1">
      <c r="D482" s="35"/>
    </row>
    <row r="483" spans="4:4" ht="15.75" customHeight="1">
      <c r="D483" s="35"/>
    </row>
    <row r="484" spans="4:4" ht="15.75" customHeight="1">
      <c r="D484" s="35"/>
    </row>
    <row r="485" spans="4:4" ht="15.75" customHeight="1">
      <c r="D485" s="35"/>
    </row>
    <row r="486" spans="4:4" ht="15.75" customHeight="1">
      <c r="D486" s="35"/>
    </row>
    <row r="487" spans="4:4" ht="15.75" customHeight="1">
      <c r="D487" s="35"/>
    </row>
    <row r="488" spans="4:4" ht="15.75" customHeight="1">
      <c r="D488" s="35"/>
    </row>
    <row r="489" spans="4:4" ht="15.75" customHeight="1">
      <c r="D489" s="35"/>
    </row>
    <row r="490" spans="4:4" ht="15.75" customHeight="1">
      <c r="D490" s="35"/>
    </row>
    <row r="491" spans="4:4" ht="15.75" customHeight="1">
      <c r="D491" s="35"/>
    </row>
    <row r="492" spans="4:4" ht="15.75" customHeight="1">
      <c r="D492" s="35"/>
    </row>
    <row r="493" spans="4:4" ht="15.75" customHeight="1">
      <c r="D493" s="35"/>
    </row>
    <row r="494" spans="4:4" ht="15.75" customHeight="1">
      <c r="D494" s="35"/>
    </row>
    <row r="495" spans="4:4" ht="15.75" customHeight="1">
      <c r="D495" s="35"/>
    </row>
    <row r="496" spans="4:4" ht="15.75" customHeight="1">
      <c r="D496" s="35"/>
    </row>
    <row r="497" spans="4:4" ht="15.75" customHeight="1">
      <c r="D497" s="35"/>
    </row>
    <row r="498" spans="4:4" ht="15.75" customHeight="1">
      <c r="D498" s="35"/>
    </row>
    <row r="499" spans="4:4" ht="15.75" customHeight="1">
      <c r="D499" s="35"/>
    </row>
    <row r="500" spans="4:4" ht="15.75" customHeight="1">
      <c r="D500" s="35"/>
    </row>
    <row r="501" spans="4:4" ht="15.75" customHeight="1">
      <c r="D501" s="35"/>
    </row>
    <row r="502" spans="4:4" ht="15.75" customHeight="1">
      <c r="D502" s="35"/>
    </row>
    <row r="503" spans="4:4" ht="15.75" customHeight="1">
      <c r="D503" s="35"/>
    </row>
    <row r="504" spans="4:4" ht="15.75" customHeight="1">
      <c r="D504" s="35"/>
    </row>
    <row r="505" spans="4:4" ht="15.75" customHeight="1">
      <c r="D505" s="35"/>
    </row>
    <row r="506" spans="4:4" ht="15.75" customHeight="1">
      <c r="D506" s="35"/>
    </row>
    <row r="507" spans="4:4" ht="15.75" customHeight="1">
      <c r="D507" s="35"/>
    </row>
    <row r="508" spans="4:4" ht="15.75" customHeight="1">
      <c r="D508" s="35"/>
    </row>
    <row r="509" spans="4:4" ht="15.75" customHeight="1">
      <c r="D509" s="35"/>
    </row>
    <row r="510" spans="4:4" ht="15.75" customHeight="1">
      <c r="D510" s="35"/>
    </row>
    <row r="511" spans="4:4" ht="15.75" customHeight="1">
      <c r="D511" s="35"/>
    </row>
    <row r="512" spans="4:4" ht="15.75" customHeight="1">
      <c r="D512" s="35"/>
    </row>
    <row r="513" spans="4:4" ht="15.75" customHeight="1">
      <c r="D513" s="35"/>
    </row>
    <row r="514" spans="4:4" ht="15.75" customHeight="1">
      <c r="D514" s="35"/>
    </row>
    <row r="515" spans="4:4" ht="15.75" customHeight="1">
      <c r="D515" s="35"/>
    </row>
    <row r="516" spans="4:4" ht="15.75" customHeight="1">
      <c r="D516" s="35"/>
    </row>
    <row r="517" spans="4:4" ht="15.75" customHeight="1">
      <c r="D517" s="35"/>
    </row>
    <row r="518" spans="4:4" ht="15.75" customHeight="1">
      <c r="D518" s="35"/>
    </row>
    <row r="519" spans="4:4" ht="15.75" customHeight="1">
      <c r="D519" s="35"/>
    </row>
    <row r="520" spans="4:4" ht="15.75" customHeight="1">
      <c r="D520" s="35"/>
    </row>
    <row r="521" spans="4:4" ht="15.75" customHeight="1">
      <c r="D521" s="35"/>
    </row>
    <row r="522" spans="4:4" ht="15.75" customHeight="1">
      <c r="D522" s="35"/>
    </row>
    <row r="523" spans="4:4" ht="15.75" customHeight="1">
      <c r="D523" s="35"/>
    </row>
    <row r="524" spans="4:4" ht="15.75" customHeight="1">
      <c r="D524" s="35"/>
    </row>
    <row r="525" spans="4:4" ht="15.75" customHeight="1">
      <c r="D525" s="35"/>
    </row>
    <row r="526" spans="4:4" ht="15.75" customHeight="1">
      <c r="D526" s="35"/>
    </row>
    <row r="527" spans="4:4" ht="15.75" customHeight="1">
      <c r="D527" s="35"/>
    </row>
    <row r="528" spans="4:4" ht="15.75" customHeight="1">
      <c r="D528" s="35"/>
    </row>
    <row r="529" spans="4:4" ht="15.75" customHeight="1">
      <c r="D529" s="35"/>
    </row>
    <row r="530" spans="4:4" ht="15.75" customHeight="1">
      <c r="D530" s="35"/>
    </row>
    <row r="531" spans="4:4" ht="15.75" customHeight="1">
      <c r="D531" s="35"/>
    </row>
    <row r="532" spans="4:4" ht="15.75" customHeight="1">
      <c r="D532" s="35"/>
    </row>
    <row r="533" spans="4:4" ht="15.75" customHeight="1">
      <c r="D533" s="35"/>
    </row>
    <row r="534" spans="4:4" ht="15.75" customHeight="1">
      <c r="D534" s="35"/>
    </row>
    <row r="535" spans="4:4" ht="15.75" customHeight="1">
      <c r="D535" s="35"/>
    </row>
    <row r="536" spans="4:4" ht="15.75" customHeight="1">
      <c r="D536" s="35"/>
    </row>
    <row r="537" spans="4:4" ht="15.75" customHeight="1">
      <c r="D537" s="35"/>
    </row>
    <row r="538" spans="4:4" ht="15.75" customHeight="1">
      <c r="D538" s="35"/>
    </row>
    <row r="539" spans="4:4" ht="15.75" customHeight="1">
      <c r="D539" s="35"/>
    </row>
    <row r="540" spans="4:4" ht="15.75" customHeight="1">
      <c r="D540" s="35"/>
    </row>
    <row r="541" spans="4:4" ht="15.75" customHeight="1">
      <c r="D541" s="35"/>
    </row>
    <row r="542" spans="4:4" ht="15.75" customHeight="1">
      <c r="D542" s="35"/>
    </row>
    <row r="543" spans="4:4" ht="15.75" customHeight="1">
      <c r="D543" s="35"/>
    </row>
    <row r="544" spans="4:4" ht="15.75" customHeight="1">
      <c r="D544" s="35"/>
    </row>
    <row r="545" spans="4:4" ht="15.75" customHeight="1">
      <c r="D545" s="35"/>
    </row>
    <row r="546" spans="4:4" ht="15.75" customHeight="1">
      <c r="D546" s="35"/>
    </row>
    <row r="547" spans="4:4" ht="15.75" customHeight="1">
      <c r="D547" s="35"/>
    </row>
    <row r="548" spans="4:4" ht="15.75" customHeight="1">
      <c r="D548" s="35"/>
    </row>
    <row r="549" spans="4:4" ht="15.75" customHeight="1">
      <c r="D549" s="35"/>
    </row>
    <row r="550" spans="4:4" ht="15.75" customHeight="1">
      <c r="D550" s="35"/>
    </row>
    <row r="551" spans="4:4" ht="15.75" customHeight="1">
      <c r="D551" s="35"/>
    </row>
    <row r="552" spans="4:4" ht="15.75" customHeight="1">
      <c r="D552" s="35"/>
    </row>
    <row r="553" spans="4:4" ht="15.75" customHeight="1">
      <c r="D553" s="35"/>
    </row>
    <row r="554" spans="4:4" ht="15.75" customHeight="1">
      <c r="D554" s="35"/>
    </row>
    <row r="555" spans="4:4" ht="15.75" customHeight="1">
      <c r="D555" s="35"/>
    </row>
    <row r="556" spans="4:4" ht="15.75" customHeight="1">
      <c r="D556" s="35"/>
    </row>
    <row r="557" spans="4:4" ht="15.75" customHeight="1">
      <c r="D557" s="35"/>
    </row>
    <row r="558" spans="4:4" ht="15.75" customHeight="1">
      <c r="D558" s="35"/>
    </row>
    <row r="559" spans="4:4" ht="15.75" customHeight="1">
      <c r="D559" s="35"/>
    </row>
    <row r="560" spans="4:4" ht="15.75" customHeight="1">
      <c r="D560" s="35"/>
    </row>
    <row r="561" spans="4:4" ht="15.75" customHeight="1">
      <c r="D561" s="35"/>
    </row>
    <row r="562" spans="4:4" ht="15.75" customHeight="1">
      <c r="D562" s="35"/>
    </row>
    <row r="563" spans="4:4" ht="15.75" customHeight="1">
      <c r="D563" s="35"/>
    </row>
    <row r="564" spans="4:4" ht="15.75" customHeight="1">
      <c r="D564" s="35"/>
    </row>
    <row r="565" spans="4:4" ht="15.75" customHeight="1">
      <c r="D565" s="35"/>
    </row>
    <row r="566" spans="4:4" ht="15.75" customHeight="1">
      <c r="D566" s="35"/>
    </row>
    <row r="567" spans="4:4" ht="15.75" customHeight="1">
      <c r="D567" s="35"/>
    </row>
    <row r="568" spans="4:4" ht="15.75" customHeight="1">
      <c r="D568" s="35"/>
    </row>
    <row r="569" spans="4:4" ht="15.75" customHeight="1">
      <c r="D569" s="35"/>
    </row>
    <row r="570" spans="4:4" ht="15.75" customHeight="1">
      <c r="D570" s="35"/>
    </row>
    <row r="571" spans="4:4" ht="15.75" customHeight="1">
      <c r="D571" s="35"/>
    </row>
    <row r="572" spans="4:4" ht="15.75" customHeight="1">
      <c r="D572" s="35"/>
    </row>
    <row r="573" spans="4:4" ht="15.75" customHeight="1">
      <c r="D573" s="35"/>
    </row>
    <row r="574" spans="4:4" ht="15.75" customHeight="1">
      <c r="D574" s="35"/>
    </row>
    <row r="575" spans="4:4" ht="15.75" customHeight="1">
      <c r="D575" s="35"/>
    </row>
    <row r="576" spans="4:4" ht="15.75" customHeight="1">
      <c r="D576" s="35"/>
    </row>
    <row r="577" spans="4:4" ht="15.75" customHeight="1">
      <c r="D577" s="35"/>
    </row>
    <row r="578" spans="4:4" ht="15.75" customHeight="1">
      <c r="D578" s="35"/>
    </row>
    <row r="579" spans="4:4" ht="15.75" customHeight="1">
      <c r="D579" s="35"/>
    </row>
    <row r="580" spans="4:4" ht="15.75" customHeight="1">
      <c r="D580" s="35"/>
    </row>
    <row r="581" spans="4:4" ht="15.75" customHeight="1">
      <c r="D581" s="35"/>
    </row>
    <row r="582" spans="4:4" ht="15.75" customHeight="1">
      <c r="D582" s="35"/>
    </row>
    <row r="583" spans="4:4" ht="15.75" customHeight="1">
      <c r="D583" s="35"/>
    </row>
    <row r="584" spans="4:4" ht="15.75" customHeight="1">
      <c r="D584" s="35"/>
    </row>
    <row r="585" spans="4:4" ht="15.75" customHeight="1">
      <c r="D585" s="35"/>
    </row>
    <row r="586" spans="4:4" ht="15.75" customHeight="1">
      <c r="D586" s="35"/>
    </row>
    <row r="587" spans="4:4" ht="15.75" customHeight="1">
      <c r="D587" s="35"/>
    </row>
    <row r="588" spans="4:4" ht="15.75" customHeight="1">
      <c r="D588" s="35"/>
    </row>
    <row r="589" spans="4:4" ht="15.75" customHeight="1">
      <c r="D589" s="35"/>
    </row>
    <row r="590" spans="4:4" ht="15.75" customHeight="1">
      <c r="D590" s="35"/>
    </row>
    <row r="591" spans="4:4" ht="15.75" customHeight="1">
      <c r="D591" s="35"/>
    </row>
    <row r="592" spans="4:4" ht="15.75" customHeight="1">
      <c r="D592" s="35"/>
    </row>
    <row r="593" spans="4:4" ht="15.75" customHeight="1">
      <c r="D593" s="35"/>
    </row>
    <row r="594" spans="4:4" ht="15.75" customHeight="1">
      <c r="D594" s="35"/>
    </row>
    <row r="595" spans="4:4" ht="15.75" customHeight="1">
      <c r="D595" s="35"/>
    </row>
    <row r="596" spans="4:4" ht="15.75" customHeight="1">
      <c r="D596" s="35"/>
    </row>
    <row r="597" spans="4:4" ht="15.75" customHeight="1">
      <c r="D597" s="35"/>
    </row>
    <row r="598" spans="4:4" ht="15.75" customHeight="1">
      <c r="D598" s="35"/>
    </row>
    <row r="599" spans="4:4" ht="15.75" customHeight="1">
      <c r="D599" s="35"/>
    </row>
    <row r="600" spans="4:4" ht="15.75" customHeight="1">
      <c r="D600" s="35"/>
    </row>
    <row r="601" spans="4:4" ht="15.75" customHeight="1">
      <c r="D601" s="35"/>
    </row>
    <row r="602" spans="4:4" ht="15.75" customHeight="1">
      <c r="D602" s="35"/>
    </row>
    <row r="603" spans="4:4" ht="15.75" customHeight="1">
      <c r="D603" s="35"/>
    </row>
    <row r="604" spans="4:4" ht="15.75" customHeight="1">
      <c r="D604" s="35"/>
    </row>
    <row r="605" spans="4:4" ht="15.75" customHeight="1">
      <c r="D605" s="35"/>
    </row>
    <row r="606" spans="4:4" ht="15.75" customHeight="1">
      <c r="D606" s="35"/>
    </row>
    <row r="607" spans="4:4" ht="15.75" customHeight="1">
      <c r="D607" s="35"/>
    </row>
    <row r="608" spans="4:4" ht="15.75" customHeight="1">
      <c r="D608" s="35"/>
    </row>
    <row r="609" spans="4:4" ht="15.75" customHeight="1">
      <c r="D609" s="35"/>
    </row>
    <row r="610" spans="4:4" ht="15.75" customHeight="1">
      <c r="D610" s="35"/>
    </row>
    <row r="611" spans="4:4" ht="15.75" customHeight="1">
      <c r="D611" s="35"/>
    </row>
    <row r="612" spans="4:4" ht="15.75" customHeight="1">
      <c r="D612" s="35"/>
    </row>
    <row r="613" spans="4:4" ht="15.75" customHeight="1">
      <c r="D613" s="35"/>
    </row>
    <row r="614" spans="4:4" ht="15.75" customHeight="1">
      <c r="D614" s="35"/>
    </row>
    <row r="615" spans="4:4" ht="15.75" customHeight="1">
      <c r="D615" s="35"/>
    </row>
    <row r="616" spans="4:4" ht="15.75" customHeight="1">
      <c r="D616" s="35"/>
    </row>
    <row r="617" spans="4:4" ht="15.75" customHeight="1">
      <c r="D617" s="35"/>
    </row>
    <row r="618" spans="4:4" ht="15.75" customHeight="1">
      <c r="D618" s="35"/>
    </row>
    <row r="619" spans="4:4" ht="15.75" customHeight="1">
      <c r="D619" s="35"/>
    </row>
    <row r="620" spans="4:4" ht="15.75" customHeight="1">
      <c r="D620" s="35"/>
    </row>
    <row r="621" spans="4:4" ht="15.75" customHeight="1">
      <c r="D621" s="35"/>
    </row>
    <row r="622" spans="4:4" ht="15.75" customHeight="1">
      <c r="D622" s="35"/>
    </row>
    <row r="623" spans="4:4" ht="15.75" customHeight="1">
      <c r="D623" s="35"/>
    </row>
    <row r="624" spans="4:4" ht="15.75" customHeight="1">
      <c r="D624" s="35"/>
    </row>
    <row r="625" spans="4:4" ht="15.75" customHeight="1">
      <c r="D625" s="35"/>
    </row>
    <row r="626" spans="4:4" ht="15.75" customHeight="1">
      <c r="D626" s="35"/>
    </row>
    <row r="627" spans="4:4" ht="15.75" customHeight="1">
      <c r="D627" s="35"/>
    </row>
    <row r="628" spans="4:4" ht="15.75" customHeight="1">
      <c r="D628" s="35"/>
    </row>
    <row r="629" spans="4:4" ht="15.75" customHeight="1">
      <c r="D629" s="35"/>
    </row>
    <row r="630" spans="4:4" ht="15.75" customHeight="1">
      <c r="D630" s="35"/>
    </row>
    <row r="631" spans="4:4" ht="15.75" customHeight="1">
      <c r="D631" s="35"/>
    </row>
    <row r="632" spans="4:4" ht="15.75" customHeight="1">
      <c r="D632" s="35"/>
    </row>
    <row r="633" spans="4:4" ht="15.75" customHeight="1">
      <c r="D633" s="35"/>
    </row>
    <row r="634" spans="4:4" ht="15.75" customHeight="1">
      <c r="D634" s="35"/>
    </row>
    <row r="635" spans="4:4" ht="15.75" customHeight="1">
      <c r="D635" s="35"/>
    </row>
    <row r="636" spans="4:4" ht="15.75" customHeight="1">
      <c r="D636" s="35"/>
    </row>
    <row r="637" spans="4:4" ht="15.75" customHeight="1">
      <c r="D637" s="35"/>
    </row>
    <row r="638" spans="4:4" ht="15.75" customHeight="1">
      <c r="D638" s="35"/>
    </row>
    <row r="639" spans="4:4" ht="15.75" customHeight="1">
      <c r="D639" s="35"/>
    </row>
    <row r="640" spans="4:4" ht="15.75" customHeight="1">
      <c r="D640" s="35"/>
    </row>
    <row r="641" spans="4:4" ht="15.75" customHeight="1">
      <c r="D641" s="35"/>
    </row>
    <row r="642" spans="4:4" ht="15.75" customHeight="1">
      <c r="D642" s="35"/>
    </row>
    <row r="643" spans="4:4" ht="15.75" customHeight="1">
      <c r="D643" s="35"/>
    </row>
    <row r="644" spans="4:4" ht="15.75" customHeight="1">
      <c r="D644" s="35"/>
    </row>
    <row r="645" spans="4:4" ht="15.75" customHeight="1">
      <c r="D645" s="35"/>
    </row>
    <row r="646" spans="4:4" ht="15.75" customHeight="1">
      <c r="D646" s="35"/>
    </row>
    <row r="647" spans="4:4" ht="15.75" customHeight="1">
      <c r="D647" s="35"/>
    </row>
    <row r="648" spans="4:4" ht="15.75" customHeight="1">
      <c r="D648" s="35"/>
    </row>
    <row r="649" spans="4:4" ht="15.75" customHeight="1">
      <c r="D649" s="35"/>
    </row>
    <row r="650" spans="4:4" ht="15.75" customHeight="1">
      <c r="D650" s="35"/>
    </row>
    <row r="651" spans="4:4" ht="15.75" customHeight="1">
      <c r="D651" s="35"/>
    </row>
    <row r="652" spans="4:4" ht="15.75" customHeight="1">
      <c r="D652" s="35"/>
    </row>
    <row r="653" spans="4:4" ht="15.75" customHeight="1">
      <c r="D653" s="35"/>
    </row>
    <row r="654" spans="4:4" ht="15.75" customHeight="1">
      <c r="D654" s="35"/>
    </row>
    <row r="655" spans="4:4" ht="15.75" customHeight="1">
      <c r="D655" s="35"/>
    </row>
    <row r="656" spans="4:4" ht="15.75" customHeight="1">
      <c r="D656" s="35"/>
    </row>
    <row r="657" spans="4:4" ht="15.75" customHeight="1">
      <c r="D657" s="35"/>
    </row>
    <row r="658" spans="4:4" ht="15.75" customHeight="1">
      <c r="D658" s="35"/>
    </row>
    <row r="659" spans="4:4" ht="15.75" customHeight="1">
      <c r="D659" s="35"/>
    </row>
    <row r="660" spans="4:4" ht="15.75" customHeight="1">
      <c r="D660" s="35"/>
    </row>
    <row r="661" spans="4:4" ht="15.75" customHeight="1">
      <c r="D661" s="35"/>
    </row>
    <row r="662" spans="4:4" ht="15.75" customHeight="1">
      <c r="D662" s="35"/>
    </row>
    <row r="663" spans="4:4" ht="15.75" customHeight="1">
      <c r="D663" s="35"/>
    </row>
    <row r="664" spans="4:4" ht="15.75" customHeight="1">
      <c r="D664" s="35"/>
    </row>
    <row r="665" spans="4:4" ht="15.75" customHeight="1">
      <c r="D665" s="35"/>
    </row>
    <row r="666" spans="4:4" ht="15.75" customHeight="1">
      <c r="D666" s="35"/>
    </row>
    <row r="667" spans="4:4" ht="15.75" customHeight="1">
      <c r="D667" s="35"/>
    </row>
    <row r="668" spans="4:4" ht="15.75" customHeight="1">
      <c r="D668" s="35"/>
    </row>
    <row r="669" spans="4:4" ht="15.75" customHeight="1">
      <c r="D669" s="35"/>
    </row>
    <row r="670" spans="4:4" ht="15.75" customHeight="1">
      <c r="D670" s="35"/>
    </row>
    <row r="671" spans="4:4" ht="15.75" customHeight="1">
      <c r="D671" s="35"/>
    </row>
    <row r="672" spans="4:4" ht="15.75" customHeight="1">
      <c r="D672" s="35"/>
    </row>
    <row r="673" spans="4:4" ht="15.75" customHeight="1">
      <c r="D673" s="35"/>
    </row>
    <row r="674" spans="4:4" ht="15.75" customHeight="1">
      <c r="D674" s="35"/>
    </row>
    <row r="675" spans="4:4" ht="15.75" customHeight="1">
      <c r="D675" s="35"/>
    </row>
    <row r="676" spans="4:4" ht="15.75" customHeight="1">
      <c r="D676" s="35"/>
    </row>
    <row r="677" spans="4:4" ht="15.75" customHeight="1">
      <c r="D677" s="35"/>
    </row>
    <row r="678" spans="4:4" ht="15.75" customHeight="1">
      <c r="D678" s="35"/>
    </row>
    <row r="679" spans="4:4" ht="15.75" customHeight="1">
      <c r="D679" s="35"/>
    </row>
    <row r="680" spans="4:4" ht="15.75" customHeight="1">
      <c r="D680" s="35"/>
    </row>
    <row r="681" spans="4:4" ht="15.75" customHeight="1">
      <c r="D681" s="35"/>
    </row>
    <row r="682" spans="4:4" ht="15.75" customHeight="1">
      <c r="D682" s="35"/>
    </row>
    <row r="683" spans="4:4" ht="15.75" customHeight="1">
      <c r="D683" s="35"/>
    </row>
    <row r="684" spans="4:4" ht="15.75" customHeight="1">
      <c r="D684" s="35"/>
    </row>
    <row r="685" spans="4:4" ht="15.75" customHeight="1">
      <c r="D685" s="35"/>
    </row>
    <row r="686" spans="4:4" ht="15.75" customHeight="1">
      <c r="D686" s="35"/>
    </row>
    <row r="687" spans="4:4" ht="15.75" customHeight="1">
      <c r="D687" s="35"/>
    </row>
    <row r="688" spans="4:4" ht="15.75" customHeight="1">
      <c r="D688" s="35"/>
    </row>
    <row r="689" spans="4:4" ht="15.75" customHeight="1">
      <c r="D689" s="35"/>
    </row>
    <row r="690" spans="4:4" ht="15.75" customHeight="1">
      <c r="D690" s="35"/>
    </row>
    <row r="691" spans="4:4" ht="15.75" customHeight="1">
      <c r="D691" s="35"/>
    </row>
    <row r="692" spans="4:4" ht="15.75" customHeight="1">
      <c r="D692" s="35"/>
    </row>
    <row r="693" spans="4:4" ht="15.75" customHeight="1">
      <c r="D693" s="35"/>
    </row>
    <row r="694" spans="4:4" ht="15.75" customHeight="1">
      <c r="D694" s="35"/>
    </row>
    <row r="695" spans="4:4" ht="15.75" customHeight="1">
      <c r="D695" s="35"/>
    </row>
    <row r="696" spans="4:4" ht="15.75" customHeight="1">
      <c r="D696" s="35"/>
    </row>
    <row r="697" spans="4:4" ht="15.75" customHeight="1">
      <c r="D697" s="35"/>
    </row>
    <row r="698" spans="4:4" ht="15.75" customHeight="1">
      <c r="D698" s="35"/>
    </row>
    <row r="699" spans="4:4" ht="15.75" customHeight="1">
      <c r="D699" s="35"/>
    </row>
    <row r="700" spans="4:4" ht="15.75" customHeight="1">
      <c r="D700" s="35"/>
    </row>
    <row r="701" spans="4:4" ht="15.75" customHeight="1">
      <c r="D701" s="35"/>
    </row>
    <row r="702" spans="4:4" ht="15.75" customHeight="1">
      <c r="D702" s="35"/>
    </row>
    <row r="703" spans="4:4" ht="15.75" customHeight="1">
      <c r="D703" s="35"/>
    </row>
    <row r="704" spans="4:4" ht="15.75" customHeight="1">
      <c r="D704" s="35"/>
    </row>
    <row r="705" spans="4:4" ht="15.75" customHeight="1">
      <c r="D705" s="35"/>
    </row>
    <row r="706" spans="4:4" ht="15.75" customHeight="1">
      <c r="D706" s="35"/>
    </row>
    <row r="707" spans="4:4" ht="15.75" customHeight="1">
      <c r="D707" s="35"/>
    </row>
    <row r="708" spans="4:4" ht="15.75" customHeight="1">
      <c r="D708" s="35"/>
    </row>
    <row r="709" spans="4:4" ht="15.75" customHeight="1">
      <c r="D709" s="35"/>
    </row>
    <row r="710" spans="4:4" ht="15.75" customHeight="1">
      <c r="D710" s="35"/>
    </row>
    <row r="711" spans="4:4" ht="15.75" customHeight="1">
      <c r="D711" s="35"/>
    </row>
    <row r="712" spans="4:4" ht="15.75" customHeight="1">
      <c r="D712" s="35"/>
    </row>
    <row r="713" spans="4:4" ht="15.75" customHeight="1">
      <c r="D713" s="35"/>
    </row>
    <row r="714" spans="4:4" ht="15.75" customHeight="1">
      <c r="D714" s="35"/>
    </row>
    <row r="715" spans="4:4" ht="15.75" customHeight="1">
      <c r="D715" s="35"/>
    </row>
    <row r="716" spans="4:4" ht="15.75" customHeight="1">
      <c r="D716" s="35"/>
    </row>
    <row r="717" spans="4:4" ht="15.75" customHeight="1">
      <c r="D717" s="35"/>
    </row>
    <row r="718" spans="4:4" ht="15.75" customHeight="1">
      <c r="D718" s="35"/>
    </row>
    <row r="719" spans="4:4" ht="15.75" customHeight="1">
      <c r="D719" s="35"/>
    </row>
    <row r="720" spans="4:4" ht="15.75" customHeight="1">
      <c r="D720" s="35"/>
    </row>
    <row r="721" spans="4:4" ht="15.75" customHeight="1">
      <c r="D721" s="35"/>
    </row>
    <row r="722" spans="4:4" ht="15.75" customHeight="1">
      <c r="D722" s="35"/>
    </row>
    <row r="723" spans="4:4" ht="15.75" customHeight="1">
      <c r="D723" s="35"/>
    </row>
    <row r="724" spans="4:4" ht="15.75" customHeight="1">
      <c r="D724" s="35"/>
    </row>
    <row r="725" spans="4:4" ht="15.75" customHeight="1">
      <c r="D725" s="35"/>
    </row>
    <row r="726" spans="4:4" ht="15.75" customHeight="1">
      <c r="D726" s="35"/>
    </row>
    <row r="727" spans="4:4" ht="15.75" customHeight="1">
      <c r="D727" s="35"/>
    </row>
    <row r="728" spans="4:4" ht="15.75" customHeight="1">
      <c r="D728" s="35"/>
    </row>
    <row r="729" spans="4:4" ht="15.75" customHeight="1">
      <c r="D729" s="35"/>
    </row>
    <row r="730" spans="4:4" ht="15.75" customHeight="1">
      <c r="D730" s="35"/>
    </row>
    <row r="731" spans="4:4" ht="15.75" customHeight="1">
      <c r="D731" s="35"/>
    </row>
    <row r="732" spans="4:4" ht="15.75" customHeight="1">
      <c r="D732" s="35"/>
    </row>
    <row r="733" spans="4:4" ht="15.75" customHeight="1">
      <c r="D733" s="35"/>
    </row>
    <row r="734" spans="4:4" ht="15.75" customHeight="1">
      <c r="D734" s="35"/>
    </row>
    <row r="735" spans="4:4" ht="15.75" customHeight="1">
      <c r="D735" s="35"/>
    </row>
    <row r="736" spans="4:4" ht="15.75" customHeight="1">
      <c r="D736" s="35"/>
    </row>
    <row r="737" spans="4:4" ht="15.75" customHeight="1">
      <c r="D737" s="35"/>
    </row>
    <row r="738" spans="4:4" ht="15.75" customHeight="1">
      <c r="D738" s="35"/>
    </row>
    <row r="739" spans="4:4" ht="15.75" customHeight="1">
      <c r="D739" s="35"/>
    </row>
    <row r="740" spans="4:4" ht="15.75" customHeight="1">
      <c r="D740" s="35"/>
    </row>
    <row r="741" spans="4:4" ht="15.75" customHeight="1">
      <c r="D741" s="35"/>
    </row>
    <row r="742" spans="4:4" ht="15.75" customHeight="1">
      <c r="D742" s="35"/>
    </row>
    <row r="743" spans="4:4" ht="15.75" customHeight="1">
      <c r="D743" s="35"/>
    </row>
    <row r="744" spans="4:4" ht="15.75" customHeight="1">
      <c r="D744" s="35"/>
    </row>
    <row r="745" spans="4:4" ht="15.75" customHeight="1">
      <c r="D745" s="35"/>
    </row>
    <row r="746" spans="4:4" ht="15.75" customHeight="1">
      <c r="D746" s="35"/>
    </row>
    <row r="747" spans="4:4" ht="15.75" customHeight="1">
      <c r="D747" s="35"/>
    </row>
    <row r="748" spans="4:4" ht="15.75" customHeight="1">
      <c r="D748" s="35"/>
    </row>
    <row r="749" spans="4:4" ht="15.75" customHeight="1">
      <c r="D749" s="35"/>
    </row>
    <row r="750" spans="4:4" ht="15.75" customHeight="1">
      <c r="D750" s="35"/>
    </row>
    <row r="751" spans="4:4" ht="15.75" customHeight="1">
      <c r="D751" s="35"/>
    </row>
    <row r="752" spans="4:4" ht="15.75" customHeight="1">
      <c r="D752" s="35"/>
    </row>
    <row r="753" spans="4:4" ht="15.75" customHeight="1">
      <c r="D753" s="35"/>
    </row>
    <row r="754" spans="4:4" ht="15.75" customHeight="1">
      <c r="D754" s="35"/>
    </row>
    <row r="755" spans="4:4" ht="15.75" customHeight="1">
      <c r="D755" s="35"/>
    </row>
    <row r="756" spans="4:4" ht="15.75" customHeight="1">
      <c r="D756" s="35"/>
    </row>
    <row r="757" spans="4:4" ht="15.75" customHeight="1">
      <c r="D757" s="35"/>
    </row>
    <row r="758" spans="4:4" ht="15.75" customHeight="1">
      <c r="D758" s="35"/>
    </row>
    <row r="759" spans="4:4" ht="15.75" customHeight="1">
      <c r="D759" s="35"/>
    </row>
    <row r="760" spans="4:4" ht="15.75" customHeight="1">
      <c r="D760" s="35"/>
    </row>
    <row r="761" spans="4:4" ht="15.75" customHeight="1">
      <c r="D761" s="35"/>
    </row>
    <row r="762" spans="4:4" ht="15.75" customHeight="1">
      <c r="D762" s="35"/>
    </row>
    <row r="763" spans="4:4" ht="15.75" customHeight="1">
      <c r="D763" s="35"/>
    </row>
    <row r="764" spans="4:4" ht="15.75" customHeight="1">
      <c r="D764" s="35"/>
    </row>
    <row r="765" spans="4:4" ht="15.75" customHeight="1">
      <c r="D765" s="35"/>
    </row>
    <row r="766" spans="4:4" ht="15.75" customHeight="1">
      <c r="D766" s="35"/>
    </row>
    <row r="767" spans="4:4" ht="15.75" customHeight="1">
      <c r="D767" s="35"/>
    </row>
    <row r="768" spans="4:4" ht="15.75" customHeight="1">
      <c r="D768" s="35"/>
    </row>
    <row r="769" spans="4:4" ht="15.75" customHeight="1">
      <c r="D769" s="35"/>
    </row>
    <row r="770" spans="4:4" ht="15.75" customHeight="1">
      <c r="D770" s="35"/>
    </row>
    <row r="771" spans="4:4" ht="15.75" customHeight="1">
      <c r="D771" s="35"/>
    </row>
    <row r="772" spans="4:4" ht="15.75" customHeight="1">
      <c r="D772" s="35"/>
    </row>
    <row r="773" spans="4:4" ht="15.75" customHeight="1">
      <c r="D773" s="35"/>
    </row>
    <row r="774" spans="4:4" ht="15.75" customHeight="1">
      <c r="D774" s="35"/>
    </row>
    <row r="775" spans="4:4" ht="15.75" customHeight="1">
      <c r="D775" s="35"/>
    </row>
    <row r="776" spans="4:4" ht="15.75" customHeight="1">
      <c r="D776" s="35"/>
    </row>
    <row r="777" spans="4:4" ht="15.75" customHeight="1">
      <c r="D777" s="35"/>
    </row>
    <row r="778" spans="4:4" ht="15.75" customHeight="1">
      <c r="D778" s="35"/>
    </row>
    <row r="779" spans="4:4" ht="15.75" customHeight="1">
      <c r="D779" s="35"/>
    </row>
    <row r="780" spans="4:4" ht="15.75" customHeight="1">
      <c r="D780" s="35"/>
    </row>
    <row r="781" spans="4:4" ht="15.75" customHeight="1">
      <c r="D781" s="35"/>
    </row>
    <row r="782" spans="4:4" ht="15.75" customHeight="1">
      <c r="D782" s="35"/>
    </row>
    <row r="783" spans="4:4" ht="15.75" customHeight="1">
      <c r="D783" s="35"/>
    </row>
    <row r="784" spans="4:4" ht="15.75" customHeight="1">
      <c r="D784" s="35"/>
    </row>
    <row r="785" spans="4:4" ht="15.75" customHeight="1">
      <c r="D785" s="35"/>
    </row>
    <row r="786" spans="4:4" ht="15.75" customHeight="1">
      <c r="D786" s="35"/>
    </row>
    <row r="787" spans="4:4" ht="15.75" customHeight="1">
      <c r="D787" s="35"/>
    </row>
    <row r="788" spans="4:4" ht="15.75" customHeight="1">
      <c r="D788" s="35"/>
    </row>
    <row r="789" spans="4:4" ht="15.75" customHeight="1">
      <c r="D789" s="35"/>
    </row>
    <row r="790" spans="4:4" ht="15.75" customHeight="1">
      <c r="D790" s="35"/>
    </row>
    <row r="791" spans="4:4" ht="15.75" customHeight="1">
      <c r="D791" s="35"/>
    </row>
    <row r="792" spans="4:4" ht="15.75" customHeight="1">
      <c r="D792" s="35"/>
    </row>
    <row r="793" spans="4:4" ht="15.75" customHeight="1">
      <c r="D793" s="35"/>
    </row>
    <row r="794" spans="4:4" ht="15.75" customHeight="1">
      <c r="D794" s="35"/>
    </row>
    <row r="795" spans="4:4" ht="15.75" customHeight="1">
      <c r="D795" s="35"/>
    </row>
    <row r="796" spans="4:4" ht="15.75" customHeight="1">
      <c r="D796" s="35"/>
    </row>
    <row r="797" spans="4:4" ht="15.75" customHeight="1">
      <c r="D797" s="35"/>
    </row>
    <row r="798" spans="4:4" ht="15.75" customHeight="1">
      <c r="D798" s="35"/>
    </row>
    <row r="799" spans="4:4" ht="15.75" customHeight="1">
      <c r="D799" s="35"/>
    </row>
    <row r="800" spans="4:4" ht="15.75" customHeight="1">
      <c r="D800" s="35"/>
    </row>
    <row r="801" spans="4:4" ht="15.75" customHeight="1">
      <c r="D801" s="35"/>
    </row>
    <row r="802" spans="4:4" ht="15.75" customHeight="1">
      <c r="D802" s="35"/>
    </row>
    <row r="803" spans="4:4" ht="15.75" customHeight="1">
      <c r="D803" s="35"/>
    </row>
    <row r="804" spans="4:4" ht="15.75" customHeight="1">
      <c r="D804" s="35"/>
    </row>
    <row r="805" spans="4:4" ht="15.75" customHeight="1">
      <c r="D805" s="35"/>
    </row>
    <row r="806" spans="4:4" ht="15.75" customHeight="1">
      <c r="D806" s="35"/>
    </row>
    <row r="807" spans="4:4" ht="15.75" customHeight="1">
      <c r="D807" s="35"/>
    </row>
    <row r="808" spans="4:4" ht="15.75" customHeight="1">
      <c r="D808" s="35"/>
    </row>
    <row r="809" spans="4:4" ht="15.75" customHeight="1">
      <c r="D809" s="35"/>
    </row>
    <row r="810" spans="4:4" ht="15.75" customHeight="1">
      <c r="D810" s="35"/>
    </row>
    <row r="811" spans="4:4" ht="15.75" customHeight="1">
      <c r="D811" s="35"/>
    </row>
    <row r="812" spans="4:4" ht="15.75" customHeight="1">
      <c r="D812" s="35"/>
    </row>
    <row r="813" spans="4:4" ht="15.75" customHeight="1">
      <c r="D813" s="35"/>
    </row>
    <row r="814" spans="4:4" ht="15.75" customHeight="1">
      <c r="D814" s="35"/>
    </row>
    <row r="815" spans="4:4" ht="15.75" customHeight="1">
      <c r="D815" s="35"/>
    </row>
    <row r="816" spans="4:4" ht="15.75" customHeight="1">
      <c r="D816" s="35"/>
    </row>
    <row r="817" spans="4:4" ht="15.75" customHeight="1">
      <c r="D817" s="35"/>
    </row>
    <row r="818" spans="4:4" ht="15.75" customHeight="1">
      <c r="D818" s="35"/>
    </row>
    <row r="819" spans="4:4" ht="15.75" customHeight="1">
      <c r="D819" s="35"/>
    </row>
    <row r="820" spans="4:4" ht="15.75" customHeight="1">
      <c r="D820" s="35"/>
    </row>
    <row r="821" spans="4:4" ht="15.75" customHeight="1">
      <c r="D821" s="35"/>
    </row>
    <row r="822" spans="4:4" ht="15.75" customHeight="1">
      <c r="D822" s="35"/>
    </row>
    <row r="823" spans="4:4" ht="15.75" customHeight="1">
      <c r="D823" s="35"/>
    </row>
    <row r="824" spans="4:4" ht="15.75" customHeight="1">
      <c r="D824" s="35"/>
    </row>
    <row r="825" spans="4:4" ht="15.75" customHeight="1">
      <c r="D825" s="35"/>
    </row>
    <row r="826" spans="4:4" ht="15.75" customHeight="1">
      <c r="D826" s="35"/>
    </row>
    <row r="827" spans="4:4" ht="15.75" customHeight="1">
      <c r="D827" s="35"/>
    </row>
    <row r="828" spans="4:4" ht="15.75" customHeight="1">
      <c r="D828" s="35"/>
    </row>
    <row r="829" spans="4:4" ht="15.75" customHeight="1">
      <c r="D829" s="35"/>
    </row>
    <row r="830" spans="4:4" ht="15.75" customHeight="1">
      <c r="D830" s="35"/>
    </row>
    <row r="831" spans="4:4" ht="15.75" customHeight="1">
      <c r="D831" s="35"/>
    </row>
    <row r="832" spans="4:4" ht="15.75" customHeight="1">
      <c r="D832" s="35"/>
    </row>
    <row r="833" spans="4:4" ht="15.75" customHeight="1">
      <c r="D833" s="35"/>
    </row>
    <row r="834" spans="4:4" ht="15.75" customHeight="1">
      <c r="D834" s="35"/>
    </row>
    <row r="835" spans="4:4" ht="15.75" customHeight="1">
      <c r="D835" s="35"/>
    </row>
    <row r="836" spans="4:4" ht="15.75" customHeight="1">
      <c r="D836" s="35"/>
    </row>
    <row r="837" spans="4:4" ht="15.75" customHeight="1">
      <c r="D837" s="35"/>
    </row>
    <row r="838" spans="4:4" ht="15.75" customHeight="1">
      <c r="D838" s="35"/>
    </row>
    <row r="839" spans="4:4" ht="15.75" customHeight="1">
      <c r="D839" s="35"/>
    </row>
    <row r="840" spans="4:4" ht="15.75" customHeight="1">
      <c r="D840" s="35"/>
    </row>
    <row r="841" spans="4:4" ht="15.75" customHeight="1">
      <c r="D841" s="35"/>
    </row>
    <row r="842" spans="4:4" ht="15.75" customHeight="1">
      <c r="D842" s="35"/>
    </row>
    <row r="843" spans="4:4" ht="15.75" customHeight="1">
      <c r="D843" s="35"/>
    </row>
    <row r="844" spans="4:4" ht="15.75" customHeight="1">
      <c r="D844" s="35"/>
    </row>
    <row r="845" spans="4:4" ht="15.75" customHeight="1">
      <c r="D845" s="35"/>
    </row>
    <row r="846" spans="4:4" ht="15.75" customHeight="1">
      <c r="D846" s="35"/>
    </row>
    <row r="847" spans="4:4" ht="15.75" customHeight="1">
      <c r="D847" s="35"/>
    </row>
    <row r="848" spans="4:4" ht="15.75" customHeight="1">
      <c r="D848" s="35"/>
    </row>
    <row r="849" spans="4:4" ht="15.75" customHeight="1">
      <c r="D849" s="35"/>
    </row>
    <row r="850" spans="4:4" ht="15.75" customHeight="1">
      <c r="D850" s="35"/>
    </row>
    <row r="851" spans="4:4" ht="15.75" customHeight="1">
      <c r="D851" s="35"/>
    </row>
    <row r="852" spans="4:4" ht="15.75" customHeight="1">
      <c r="D852" s="35"/>
    </row>
    <row r="853" spans="4:4" ht="15.75" customHeight="1">
      <c r="D853" s="35"/>
    </row>
    <row r="854" spans="4:4" ht="15.75" customHeight="1">
      <c r="D854" s="35"/>
    </row>
    <row r="855" spans="4:4" ht="15.75" customHeight="1">
      <c r="D855" s="35"/>
    </row>
    <row r="856" spans="4:4" ht="15.75" customHeight="1">
      <c r="D856" s="35"/>
    </row>
    <row r="857" spans="4:4" ht="15.75" customHeight="1">
      <c r="D857" s="35"/>
    </row>
    <row r="858" spans="4:4" ht="15.75" customHeight="1">
      <c r="D858" s="35"/>
    </row>
    <row r="859" spans="4:4" ht="15.75" customHeight="1">
      <c r="D859" s="35"/>
    </row>
    <row r="860" spans="4:4" ht="15.75" customHeight="1">
      <c r="D860" s="35"/>
    </row>
    <row r="861" spans="4:4" ht="15.75" customHeight="1">
      <c r="D861" s="35"/>
    </row>
    <row r="862" spans="4:4" ht="15.75" customHeight="1">
      <c r="D862" s="35"/>
    </row>
    <row r="863" spans="4:4" ht="15.75" customHeight="1">
      <c r="D863" s="35"/>
    </row>
    <row r="864" spans="4:4" ht="15.75" customHeight="1">
      <c r="D864" s="35"/>
    </row>
    <row r="865" spans="4:4" ht="15.75" customHeight="1">
      <c r="D865" s="35"/>
    </row>
    <row r="866" spans="4:4" ht="15.75" customHeight="1">
      <c r="D866" s="35"/>
    </row>
    <row r="867" spans="4:4" ht="15.75" customHeight="1">
      <c r="D867" s="35"/>
    </row>
    <row r="868" spans="4:4" ht="15.75" customHeight="1">
      <c r="D868" s="35"/>
    </row>
    <row r="869" spans="4:4" ht="15.75" customHeight="1">
      <c r="D869" s="35"/>
    </row>
    <row r="870" spans="4:4" ht="15.75" customHeight="1">
      <c r="D870" s="35"/>
    </row>
    <row r="871" spans="4:4" ht="15.75" customHeight="1">
      <c r="D871" s="35"/>
    </row>
    <row r="872" spans="4:4" ht="15.75" customHeight="1">
      <c r="D872" s="35"/>
    </row>
    <row r="873" spans="4:4" ht="15.75" customHeight="1">
      <c r="D873" s="35"/>
    </row>
    <row r="874" spans="4:4" ht="15.75" customHeight="1">
      <c r="D874" s="35"/>
    </row>
    <row r="875" spans="4:4" ht="15.75" customHeight="1">
      <c r="D875" s="35"/>
    </row>
    <row r="876" spans="4:4" ht="15.75" customHeight="1">
      <c r="D876" s="35"/>
    </row>
    <row r="877" spans="4:4" ht="15.75" customHeight="1">
      <c r="D877" s="35"/>
    </row>
    <row r="878" spans="4:4" ht="15.75" customHeight="1">
      <c r="D878" s="35"/>
    </row>
    <row r="879" spans="4:4" ht="15.75" customHeight="1">
      <c r="D879" s="35"/>
    </row>
    <row r="880" spans="4:4" ht="15.75" customHeight="1">
      <c r="D880" s="35"/>
    </row>
    <row r="881" spans="4:4" ht="15.75" customHeight="1">
      <c r="D881" s="35"/>
    </row>
    <row r="882" spans="4:4" ht="15.75" customHeight="1">
      <c r="D882" s="35"/>
    </row>
    <row r="883" spans="4:4" ht="15.75" customHeight="1">
      <c r="D883" s="35"/>
    </row>
    <row r="884" spans="4:4" ht="15.75" customHeight="1">
      <c r="D884" s="35"/>
    </row>
    <row r="885" spans="4:4" ht="15.75" customHeight="1">
      <c r="D885" s="35"/>
    </row>
    <row r="886" spans="4:4" ht="15.75" customHeight="1">
      <c r="D886" s="35"/>
    </row>
    <row r="887" spans="4:4" ht="15.75" customHeight="1">
      <c r="D887" s="35"/>
    </row>
    <row r="888" spans="4:4" ht="15.75" customHeight="1">
      <c r="D888" s="35"/>
    </row>
    <row r="889" spans="4:4" ht="15.75" customHeight="1">
      <c r="D889" s="35"/>
    </row>
    <row r="890" spans="4:4" ht="15.75" customHeight="1">
      <c r="D890" s="35"/>
    </row>
    <row r="891" spans="4:4" ht="15.75" customHeight="1">
      <c r="D891" s="35"/>
    </row>
    <row r="892" spans="4:4" ht="15.75" customHeight="1">
      <c r="D892" s="35"/>
    </row>
    <row r="893" spans="4:4" ht="15.75" customHeight="1">
      <c r="D893" s="35"/>
    </row>
    <row r="894" spans="4:4" ht="15.75" customHeight="1">
      <c r="D894" s="35"/>
    </row>
    <row r="895" spans="4:4" ht="15.75" customHeight="1">
      <c r="D895" s="35"/>
    </row>
    <row r="896" spans="4:4" ht="15.75" customHeight="1">
      <c r="D896" s="35"/>
    </row>
    <row r="897" spans="4:4" ht="15.75" customHeight="1">
      <c r="D897" s="35"/>
    </row>
    <row r="898" spans="4:4" ht="15.75" customHeight="1">
      <c r="D898" s="35"/>
    </row>
    <row r="899" spans="4:4" ht="15.75" customHeight="1">
      <c r="D899" s="35"/>
    </row>
    <row r="900" spans="4:4" ht="15.75" customHeight="1">
      <c r="D900" s="35"/>
    </row>
    <row r="901" spans="4:4" ht="15.75" customHeight="1">
      <c r="D901" s="35"/>
    </row>
    <row r="902" spans="4:4" ht="15.75" customHeight="1">
      <c r="D902" s="35"/>
    </row>
    <row r="903" spans="4:4" ht="15.75" customHeight="1">
      <c r="D903" s="35"/>
    </row>
    <row r="904" spans="4:4" ht="15.75" customHeight="1">
      <c r="D904" s="35"/>
    </row>
    <row r="905" spans="4:4" ht="15.75" customHeight="1">
      <c r="D905" s="35"/>
    </row>
    <row r="906" spans="4:4" ht="15.75" customHeight="1">
      <c r="D906" s="35"/>
    </row>
    <row r="907" spans="4:4" ht="15.75" customHeight="1">
      <c r="D907" s="35"/>
    </row>
    <row r="908" spans="4:4" ht="15.75" customHeight="1">
      <c r="D908" s="35"/>
    </row>
    <row r="909" spans="4:4" ht="15.75" customHeight="1">
      <c r="D909" s="35"/>
    </row>
    <row r="910" spans="4:4" ht="15.75" customHeight="1">
      <c r="D910" s="35"/>
    </row>
    <row r="911" spans="4:4" ht="15.75" customHeight="1">
      <c r="D911" s="35"/>
    </row>
    <row r="912" spans="4:4" ht="15.75" customHeight="1">
      <c r="D912" s="35"/>
    </row>
    <row r="913" spans="4:4" ht="15.75" customHeight="1">
      <c r="D913" s="35"/>
    </row>
    <row r="914" spans="4:4" ht="15.75" customHeight="1">
      <c r="D914" s="35"/>
    </row>
    <row r="915" spans="4:4" ht="15.75" customHeight="1">
      <c r="D915" s="35"/>
    </row>
    <row r="916" spans="4:4" ht="15.75" customHeight="1">
      <c r="D916" s="35"/>
    </row>
    <row r="917" spans="4:4" ht="15.75" customHeight="1">
      <c r="D917" s="35"/>
    </row>
    <row r="918" spans="4:4" ht="15.75" customHeight="1">
      <c r="D918" s="35"/>
    </row>
    <row r="919" spans="4:4" ht="15.75" customHeight="1">
      <c r="D919" s="35"/>
    </row>
    <row r="920" spans="4:4" ht="15.75" customHeight="1">
      <c r="D920" s="35"/>
    </row>
    <row r="921" spans="4:4" ht="15.75" customHeight="1">
      <c r="D921" s="35"/>
    </row>
    <row r="922" spans="4:4" ht="15.75" customHeight="1">
      <c r="D922" s="35"/>
    </row>
    <row r="923" spans="4:4" ht="15.75" customHeight="1">
      <c r="D923" s="35"/>
    </row>
    <row r="924" spans="4:4" ht="15.75" customHeight="1">
      <c r="D924" s="35"/>
    </row>
    <row r="925" spans="4:4" ht="15.75" customHeight="1">
      <c r="D925" s="35"/>
    </row>
    <row r="926" spans="4:4" ht="15.75" customHeight="1">
      <c r="D926" s="35"/>
    </row>
    <row r="927" spans="4:4" ht="15.75" customHeight="1">
      <c r="D927" s="35"/>
    </row>
    <row r="928" spans="4:4" ht="15.75" customHeight="1">
      <c r="D928" s="35"/>
    </row>
    <row r="929" spans="4:4" ht="15.75" customHeight="1">
      <c r="D929" s="35"/>
    </row>
    <row r="930" spans="4:4" ht="15.75" customHeight="1">
      <c r="D930" s="35"/>
    </row>
    <row r="931" spans="4:4" ht="15.75" customHeight="1">
      <c r="D931" s="35"/>
    </row>
    <row r="932" spans="4:4" ht="15.75" customHeight="1">
      <c r="D932" s="35"/>
    </row>
    <row r="933" spans="4:4" ht="15.75" customHeight="1">
      <c r="D933" s="35"/>
    </row>
    <row r="934" spans="4:4" ht="15.75" customHeight="1">
      <c r="D934" s="35"/>
    </row>
    <row r="935" spans="4:4" ht="15.75" customHeight="1">
      <c r="D935" s="35"/>
    </row>
    <row r="936" spans="4:4" ht="15.75" customHeight="1">
      <c r="D936" s="35"/>
    </row>
    <row r="937" spans="4:4" ht="15.75" customHeight="1">
      <c r="D937" s="35"/>
    </row>
    <row r="938" spans="4:4" ht="15.75" customHeight="1">
      <c r="D938" s="35"/>
    </row>
    <row r="939" spans="4:4" ht="15.75" customHeight="1">
      <c r="D939" s="35"/>
    </row>
    <row r="940" spans="4:4" ht="15.75" customHeight="1">
      <c r="D940" s="35"/>
    </row>
    <row r="941" spans="4:4" ht="15.75" customHeight="1">
      <c r="D941" s="35"/>
    </row>
    <row r="942" spans="4:4" ht="15.75" customHeight="1">
      <c r="D942" s="35"/>
    </row>
    <row r="943" spans="4:4" ht="15.75" customHeight="1">
      <c r="D943" s="35"/>
    </row>
    <row r="944" spans="4:4" ht="15.75" customHeight="1">
      <c r="D944" s="35"/>
    </row>
    <row r="945" spans="4:4" ht="15.75" customHeight="1">
      <c r="D945" s="35"/>
    </row>
    <row r="946" spans="4:4" ht="15.75" customHeight="1">
      <c r="D946" s="35"/>
    </row>
    <row r="947" spans="4:4" ht="15.75" customHeight="1">
      <c r="D947" s="35"/>
    </row>
    <row r="948" spans="4:4" ht="15.75" customHeight="1">
      <c r="D948" s="35"/>
    </row>
    <row r="949" spans="4:4" ht="15.75" customHeight="1">
      <c r="D949" s="35"/>
    </row>
    <row r="950" spans="4:4" ht="15.75" customHeight="1">
      <c r="D950" s="35"/>
    </row>
    <row r="951" spans="4:4" ht="15.75" customHeight="1">
      <c r="D951" s="35"/>
    </row>
    <row r="952" spans="4:4" ht="15.75" customHeight="1">
      <c r="D952" s="35"/>
    </row>
    <row r="953" spans="4:4" ht="15.75" customHeight="1">
      <c r="D953" s="35"/>
    </row>
    <row r="954" spans="4:4" ht="15.75" customHeight="1">
      <c r="D954" s="35"/>
    </row>
    <row r="955" spans="4:4" ht="15.75" customHeight="1">
      <c r="D955" s="35"/>
    </row>
    <row r="956" spans="4:4" ht="15.75" customHeight="1">
      <c r="D956" s="35"/>
    </row>
    <row r="957" spans="4:4" ht="15.75" customHeight="1">
      <c r="D957" s="35"/>
    </row>
    <row r="958" spans="4:4" ht="15.75" customHeight="1">
      <c r="D958" s="35"/>
    </row>
    <row r="959" spans="4:4" ht="15.75" customHeight="1">
      <c r="D959" s="35"/>
    </row>
    <row r="960" spans="4:4" ht="15.75" customHeight="1">
      <c r="D960" s="35"/>
    </row>
    <row r="961" spans="4:4" ht="15.75" customHeight="1">
      <c r="D961" s="35"/>
    </row>
    <row r="962" spans="4:4" ht="15.75" customHeight="1">
      <c r="D962" s="35"/>
    </row>
    <row r="963" spans="4:4" ht="15.75" customHeight="1">
      <c r="D963" s="35"/>
    </row>
    <row r="964" spans="4:4" ht="15.75" customHeight="1">
      <c r="D964" s="35"/>
    </row>
    <row r="965" spans="4:4" ht="15.75" customHeight="1">
      <c r="D965" s="35"/>
    </row>
    <row r="966" spans="4:4" ht="15.75" customHeight="1">
      <c r="D966" s="35"/>
    </row>
    <row r="967" spans="4:4" ht="15.75" customHeight="1">
      <c r="D967" s="35"/>
    </row>
    <row r="968" spans="4:4" ht="15.75" customHeight="1">
      <c r="D968" s="35"/>
    </row>
    <row r="969" spans="4:4" ht="15.75" customHeight="1">
      <c r="D969" s="35"/>
    </row>
    <row r="970" spans="4:4" ht="15.75" customHeight="1">
      <c r="D970" s="35"/>
    </row>
    <row r="971" spans="4:4" ht="15.75" customHeight="1">
      <c r="D971" s="35"/>
    </row>
    <row r="972" spans="4:4" ht="15.75" customHeight="1">
      <c r="D972" s="35"/>
    </row>
    <row r="973" spans="4:4" ht="15.75" customHeight="1">
      <c r="D973" s="35"/>
    </row>
    <row r="974" spans="4:4" ht="15.75" customHeight="1">
      <c r="D974" s="35"/>
    </row>
    <row r="975" spans="4:4" ht="15.75" customHeight="1">
      <c r="D975" s="35"/>
    </row>
    <row r="976" spans="4:4" ht="15.75" customHeight="1">
      <c r="D976" s="35"/>
    </row>
    <row r="977" spans="4:4" ht="15.75" customHeight="1">
      <c r="D977" s="35"/>
    </row>
    <row r="978" spans="4:4" ht="15.75" customHeight="1">
      <c r="D978" s="35"/>
    </row>
    <row r="979" spans="4:4" ht="15.75" customHeight="1">
      <c r="D979" s="35"/>
    </row>
    <row r="980" spans="4:4" ht="15.75" customHeight="1">
      <c r="D980" s="35"/>
    </row>
    <row r="981" spans="4:4" ht="15.75" customHeight="1">
      <c r="D981" s="35"/>
    </row>
    <row r="982" spans="4:4" ht="15.75" customHeight="1">
      <c r="D982" s="35"/>
    </row>
    <row r="983" spans="4:4" ht="15.75" customHeight="1">
      <c r="D983" s="35"/>
    </row>
    <row r="984" spans="4:4" ht="15.75" customHeight="1">
      <c r="D984" s="35"/>
    </row>
    <row r="985" spans="4:4" ht="15.75" customHeight="1">
      <c r="D985" s="35"/>
    </row>
    <row r="986" spans="4:4" ht="15.75" customHeight="1">
      <c r="D986" s="35"/>
    </row>
    <row r="987" spans="4:4" ht="15.75" customHeight="1">
      <c r="D987" s="35"/>
    </row>
    <row r="988" spans="4:4" ht="15.75" customHeight="1">
      <c r="D988" s="35"/>
    </row>
    <row r="989" spans="4:4" ht="15.75" customHeight="1">
      <c r="D989" s="35"/>
    </row>
    <row r="990" spans="4:4" ht="15.75" customHeight="1">
      <c r="D990" s="35"/>
    </row>
    <row r="991" spans="4:4" ht="15.75" customHeight="1">
      <c r="D991" s="35"/>
    </row>
    <row r="992" spans="4:4" ht="15.75" customHeight="1">
      <c r="D992" s="35"/>
    </row>
    <row r="993" spans="4:4" ht="15.75" customHeight="1">
      <c r="D993" s="35"/>
    </row>
    <row r="994" spans="4:4" ht="15.75" customHeight="1">
      <c r="D994" s="35"/>
    </row>
    <row r="995" spans="4:4" ht="15.75" customHeight="1">
      <c r="D995" s="35"/>
    </row>
    <row r="996" spans="4:4" ht="15.75" customHeight="1">
      <c r="D996" s="35"/>
    </row>
    <row r="997" spans="4:4" ht="15.75" customHeight="1">
      <c r="D997" s="35"/>
    </row>
    <row r="998" spans="4:4" ht="15.75" customHeight="1">
      <c r="D998" s="35"/>
    </row>
    <row r="999" spans="4:4" ht="15.75" customHeight="1">
      <c r="D999" s="35"/>
    </row>
    <row r="1000" spans="4:4" ht="15.75" customHeight="1">
      <c r="D1000" s="35"/>
    </row>
  </sheetData>
  <mergeCells count="8">
    <mergeCell ref="A38:I38"/>
    <mergeCell ref="A49:I49"/>
    <mergeCell ref="A61:B61"/>
    <mergeCell ref="A1:I1"/>
    <mergeCell ref="A2:I2"/>
    <mergeCell ref="A5:I5"/>
    <mergeCell ref="A16:I16"/>
    <mergeCell ref="A27:I27"/>
  </mergeCells>
  <dataValidations count="1">
    <dataValidation type="list" allowBlank="1" sqref="G6:G15 G17:G26 G28:G37 G39:G48 G50:G60">
      <formula1>"Pass,Fail,Not Run,Blocked"</formula1>
    </dataValidation>
  </dataValidation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000"/>
  <sheetViews>
    <sheetView showGridLines="0" workbookViewId="0">
      <pane ySplit="4" topLeftCell="A11" activePane="bottomLeft" state="frozen"/>
      <selection pane="bottomLeft" activeCell="B6" sqref="B6"/>
    </sheetView>
  </sheetViews>
  <sheetFormatPr defaultColWidth="14.42578125" defaultRowHeight="15" customHeight="1"/>
  <cols>
    <col min="1" max="1" width="10" customWidth="1"/>
    <col min="2" max="2" width="42" customWidth="1"/>
    <col min="3" max="3" width="24" customWidth="1"/>
    <col min="4" max="4" width="13" customWidth="1"/>
    <col min="5" max="6" width="10" customWidth="1"/>
    <col min="7" max="7" width="14" customWidth="1"/>
    <col min="8" max="8" width="36" customWidth="1"/>
    <col min="9" max="9" width="18" customWidth="1"/>
    <col min="10" max="26" width="8.7109375" customWidth="1"/>
  </cols>
  <sheetData>
    <row r="1" spans="1:9" ht="31.5" customHeight="1">
      <c r="A1" s="130" t="s">
        <v>195</v>
      </c>
      <c r="B1" s="119"/>
      <c r="C1" s="119"/>
      <c r="D1" s="119"/>
      <c r="E1" s="119"/>
      <c r="F1" s="119"/>
      <c r="G1" s="119"/>
      <c r="H1" s="119"/>
      <c r="I1" s="120"/>
    </row>
    <row r="2" spans="1:9" ht="15.75" customHeight="1">
      <c r="A2" s="131" t="s">
        <v>37</v>
      </c>
      <c r="B2" s="119"/>
      <c r="C2" s="119"/>
      <c r="D2" s="119"/>
      <c r="E2" s="119"/>
      <c r="F2" s="119"/>
      <c r="G2" s="119"/>
      <c r="H2" s="119"/>
      <c r="I2" s="120"/>
    </row>
    <row r="3" spans="1:9" ht="6" customHeight="1">
      <c r="H3" s="67"/>
    </row>
    <row r="4" spans="1:9" ht="21.75" customHeight="1">
      <c r="A4" s="36" t="s">
        <v>38</v>
      </c>
      <c r="B4" s="36" t="s">
        <v>39</v>
      </c>
      <c r="C4" s="36" t="s">
        <v>40</v>
      </c>
      <c r="D4" s="36" t="s">
        <v>41</v>
      </c>
      <c r="E4" s="36" t="s">
        <v>42</v>
      </c>
      <c r="F4" s="36" t="s">
        <v>43</v>
      </c>
      <c r="G4" s="36" t="s">
        <v>44</v>
      </c>
      <c r="H4" s="68" t="s">
        <v>45</v>
      </c>
      <c r="I4" s="36" t="s">
        <v>46</v>
      </c>
    </row>
    <row r="5" spans="1:9" ht="21.75" customHeight="1">
      <c r="A5" s="128" t="s">
        <v>196</v>
      </c>
      <c r="B5" s="109"/>
      <c r="C5" s="109"/>
      <c r="D5" s="109"/>
      <c r="E5" s="109"/>
      <c r="F5" s="109"/>
      <c r="G5" s="109"/>
      <c r="H5" s="109"/>
      <c r="I5" s="110"/>
    </row>
    <row r="6" spans="1:9" ht="19.5" customHeight="1">
      <c r="A6" s="43" t="s">
        <v>197</v>
      </c>
      <c r="B6" s="44" t="s">
        <v>198</v>
      </c>
      <c r="C6" s="45" t="s">
        <v>99</v>
      </c>
      <c r="D6" s="43" t="s">
        <v>24</v>
      </c>
      <c r="E6" s="46" t="str">
        <f t="shared" ref="E6:E15" si="0">IF(G6="Pass","✅","")</f>
        <v>✅</v>
      </c>
      <c r="F6" s="46" t="str">
        <f t="shared" ref="F6:F15" si="1">IF(G6="Fail","❌","")</f>
        <v/>
      </c>
      <c r="G6" s="47" t="s">
        <v>42</v>
      </c>
      <c r="H6" s="69"/>
      <c r="I6" s="42" t="s">
        <v>51</v>
      </c>
    </row>
    <row r="7" spans="1:9" ht="19.5" customHeight="1">
      <c r="A7" s="43" t="s">
        <v>199</v>
      </c>
      <c r="B7" s="44" t="s">
        <v>200</v>
      </c>
      <c r="C7" s="45" t="s">
        <v>99</v>
      </c>
      <c r="D7" s="43" t="s">
        <v>24</v>
      </c>
      <c r="E7" s="46" t="str">
        <f t="shared" si="0"/>
        <v>✅</v>
      </c>
      <c r="F7" s="46" t="str">
        <f t="shared" si="1"/>
        <v/>
      </c>
      <c r="G7" s="47" t="s">
        <v>42</v>
      </c>
      <c r="H7" s="69"/>
      <c r="I7" s="42" t="s">
        <v>51</v>
      </c>
    </row>
    <row r="8" spans="1:9" ht="41.25" customHeight="1">
      <c r="A8" s="48" t="s">
        <v>201</v>
      </c>
      <c r="B8" s="49" t="s">
        <v>202</v>
      </c>
      <c r="C8" s="50" t="s">
        <v>203</v>
      </c>
      <c r="D8" s="48" t="s">
        <v>27</v>
      </c>
      <c r="E8" s="51" t="str">
        <f t="shared" si="0"/>
        <v/>
      </c>
      <c r="F8" s="51" t="str">
        <f t="shared" si="1"/>
        <v>❌</v>
      </c>
      <c r="G8" s="52" t="s">
        <v>43</v>
      </c>
      <c r="H8" s="70" t="s">
        <v>204</v>
      </c>
      <c r="I8" s="42" t="s">
        <v>51</v>
      </c>
    </row>
    <row r="9" spans="1:9" ht="19.5" customHeight="1">
      <c r="A9" s="48" t="s">
        <v>205</v>
      </c>
      <c r="B9" s="49" t="s">
        <v>206</v>
      </c>
      <c r="C9" s="50" t="s">
        <v>54</v>
      </c>
      <c r="D9" s="48" t="s">
        <v>27</v>
      </c>
      <c r="E9" s="51" t="str">
        <f t="shared" si="0"/>
        <v>✅</v>
      </c>
      <c r="F9" s="51" t="str">
        <f t="shared" si="1"/>
        <v/>
      </c>
      <c r="G9" s="52" t="s">
        <v>42</v>
      </c>
      <c r="H9" s="71"/>
      <c r="I9" s="42" t="s">
        <v>51</v>
      </c>
    </row>
    <row r="10" spans="1:9" ht="19.5" customHeight="1">
      <c r="A10" s="48" t="s">
        <v>207</v>
      </c>
      <c r="B10" s="49" t="s">
        <v>208</v>
      </c>
      <c r="C10" s="50" t="s">
        <v>209</v>
      </c>
      <c r="D10" s="48" t="s">
        <v>27</v>
      </c>
      <c r="E10" s="51" t="str">
        <f t="shared" si="0"/>
        <v>✅</v>
      </c>
      <c r="F10" s="51" t="str">
        <f t="shared" si="1"/>
        <v/>
      </c>
      <c r="G10" s="52" t="s">
        <v>42</v>
      </c>
      <c r="H10" s="71"/>
      <c r="I10" s="42" t="s">
        <v>51</v>
      </c>
    </row>
    <row r="11" spans="1:9" ht="19.5" customHeight="1">
      <c r="A11" s="48" t="s">
        <v>210</v>
      </c>
      <c r="B11" s="49" t="s">
        <v>211</v>
      </c>
      <c r="C11" s="50" t="s">
        <v>212</v>
      </c>
      <c r="D11" s="48" t="s">
        <v>27</v>
      </c>
      <c r="E11" s="51" t="str">
        <f t="shared" si="0"/>
        <v>✅</v>
      </c>
      <c r="F11" s="51" t="str">
        <f t="shared" si="1"/>
        <v/>
      </c>
      <c r="G11" s="52" t="s">
        <v>42</v>
      </c>
      <c r="H11" s="71"/>
      <c r="I11" s="42" t="s">
        <v>51</v>
      </c>
    </row>
    <row r="12" spans="1:9" ht="49.5" customHeight="1">
      <c r="A12" s="43" t="s">
        <v>213</v>
      </c>
      <c r="B12" s="44" t="s">
        <v>214</v>
      </c>
      <c r="C12" s="45" t="s">
        <v>215</v>
      </c>
      <c r="D12" s="43" t="s">
        <v>24</v>
      </c>
      <c r="E12" s="46" t="str">
        <f t="shared" si="0"/>
        <v>✅</v>
      </c>
      <c r="F12" s="46" t="str">
        <f t="shared" si="1"/>
        <v/>
      </c>
      <c r="G12" s="47" t="s">
        <v>42</v>
      </c>
      <c r="H12" s="72" t="s">
        <v>216</v>
      </c>
      <c r="I12" s="42" t="s">
        <v>51</v>
      </c>
    </row>
    <row r="13" spans="1:9" ht="56.25" customHeight="1">
      <c r="A13" s="43" t="s">
        <v>217</v>
      </c>
      <c r="B13" s="44" t="s">
        <v>218</v>
      </c>
      <c r="C13" s="45" t="s">
        <v>219</v>
      </c>
      <c r="D13" s="43" t="s">
        <v>24</v>
      </c>
      <c r="E13" s="46" t="str">
        <f t="shared" si="0"/>
        <v>✅</v>
      </c>
      <c r="F13" s="46" t="str">
        <f t="shared" si="1"/>
        <v/>
      </c>
      <c r="G13" s="47" t="s">
        <v>42</v>
      </c>
      <c r="H13" s="72" t="s">
        <v>220</v>
      </c>
      <c r="I13" s="42" t="s">
        <v>51</v>
      </c>
    </row>
    <row r="14" spans="1:9" ht="19.5" customHeight="1">
      <c r="A14" s="48" t="s">
        <v>221</v>
      </c>
      <c r="B14" s="49" t="s">
        <v>222</v>
      </c>
      <c r="C14" s="50" t="s">
        <v>223</v>
      </c>
      <c r="D14" s="48" t="s">
        <v>27</v>
      </c>
      <c r="E14" s="51" t="str">
        <f t="shared" si="0"/>
        <v>✅</v>
      </c>
      <c r="F14" s="51" t="str">
        <f t="shared" si="1"/>
        <v/>
      </c>
      <c r="G14" s="52" t="s">
        <v>42</v>
      </c>
      <c r="H14" s="71"/>
      <c r="I14" s="42" t="s">
        <v>51</v>
      </c>
    </row>
    <row r="15" spans="1:9" ht="19.5" customHeight="1">
      <c r="A15" s="48" t="s">
        <v>224</v>
      </c>
      <c r="B15" s="49" t="s">
        <v>225</v>
      </c>
      <c r="C15" s="50" t="s">
        <v>226</v>
      </c>
      <c r="D15" s="48" t="s">
        <v>27</v>
      </c>
      <c r="E15" s="51" t="str">
        <f t="shared" si="0"/>
        <v>✅</v>
      </c>
      <c r="F15" s="51" t="str">
        <f t="shared" si="1"/>
        <v/>
      </c>
      <c r="G15" s="52" t="s">
        <v>42</v>
      </c>
      <c r="H15" s="71"/>
      <c r="I15" s="42" t="s">
        <v>51</v>
      </c>
    </row>
    <row r="16" spans="1:9" ht="21.75" customHeight="1">
      <c r="A16" s="128" t="s">
        <v>227</v>
      </c>
      <c r="B16" s="109"/>
      <c r="C16" s="109"/>
      <c r="D16" s="109"/>
      <c r="E16" s="109"/>
      <c r="F16" s="109"/>
      <c r="G16" s="109"/>
      <c r="H16" s="109"/>
      <c r="I16" s="110"/>
    </row>
    <row r="17" spans="1:9" ht="19.5" customHeight="1">
      <c r="A17" s="43" t="s">
        <v>228</v>
      </c>
      <c r="B17" s="44" t="s">
        <v>229</v>
      </c>
      <c r="C17" s="45" t="s">
        <v>230</v>
      </c>
      <c r="D17" s="43" t="s">
        <v>24</v>
      </c>
      <c r="E17" s="46" t="str">
        <f t="shared" ref="E17:E31" si="2">IF(G17="Pass","✅","")</f>
        <v>✅</v>
      </c>
      <c r="F17" s="46" t="str">
        <f t="shared" ref="F17:F31" si="3">IF(G17="Fail","❌","")</f>
        <v/>
      </c>
      <c r="G17" s="47" t="s">
        <v>42</v>
      </c>
      <c r="H17" s="69"/>
      <c r="I17" s="42" t="s">
        <v>51</v>
      </c>
    </row>
    <row r="18" spans="1:9" ht="19.5" customHeight="1">
      <c r="A18" s="43" t="s">
        <v>231</v>
      </c>
      <c r="B18" s="44" t="s">
        <v>232</v>
      </c>
      <c r="C18" s="45" t="s">
        <v>230</v>
      </c>
      <c r="D18" s="43" t="s">
        <v>24</v>
      </c>
      <c r="E18" s="46" t="str">
        <f t="shared" si="2"/>
        <v>✅</v>
      </c>
      <c r="F18" s="46" t="str">
        <f t="shared" si="3"/>
        <v/>
      </c>
      <c r="G18" s="47" t="s">
        <v>42</v>
      </c>
      <c r="H18" s="69"/>
      <c r="I18" s="42" t="s">
        <v>51</v>
      </c>
    </row>
    <row r="19" spans="1:9" ht="19.5" customHeight="1">
      <c r="A19" s="43" t="s">
        <v>233</v>
      </c>
      <c r="B19" s="44" t="s">
        <v>234</v>
      </c>
      <c r="C19" s="45" t="s">
        <v>230</v>
      </c>
      <c r="D19" s="43" t="s">
        <v>24</v>
      </c>
      <c r="E19" s="46" t="str">
        <f t="shared" si="2"/>
        <v>✅</v>
      </c>
      <c r="F19" s="46" t="str">
        <f t="shared" si="3"/>
        <v/>
      </c>
      <c r="G19" s="47" t="s">
        <v>42</v>
      </c>
      <c r="H19" s="69"/>
      <c r="I19" s="42" t="s">
        <v>51</v>
      </c>
    </row>
    <row r="20" spans="1:9" ht="39.75" customHeight="1">
      <c r="A20" s="43" t="s">
        <v>235</v>
      </c>
      <c r="B20" s="44" t="s">
        <v>236</v>
      </c>
      <c r="C20" s="45" t="s">
        <v>237</v>
      </c>
      <c r="D20" s="43" t="s">
        <v>24</v>
      </c>
      <c r="E20" s="46" t="str">
        <f t="shared" si="2"/>
        <v>✅</v>
      </c>
      <c r="F20" s="46" t="str">
        <f t="shared" si="3"/>
        <v/>
      </c>
      <c r="G20" s="47" t="s">
        <v>42</v>
      </c>
      <c r="H20" s="72" t="s">
        <v>238</v>
      </c>
      <c r="I20" s="42" t="s">
        <v>51</v>
      </c>
    </row>
    <row r="21" spans="1:9" ht="19.5" customHeight="1">
      <c r="A21" s="43" t="s">
        <v>239</v>
      </c>
      <c r="B21" s="44" t="s">
        <v>240</v>
      </c>
      <c r="C21" s="45" t="s">
        <v>237</v>
      </c>
      <c r="D21" s="43" t="s">
        <v>24</v>
      </c>
      <c r="E21" s="46" t="str">
        <f t="shared" si="2"/>
        <v>✅</v>
      </c>
      <c r="F21" s="46" t="str">
        <f t="shared" si="3"/>
        <v/>
      </c>
      <c r="G21" s="47" t="s">
        <v>42</v>
      </c>
      <c r="H21" s="69"/>
      <c r="I21" s="42" t="s">
        <v>51</v>
      </c>
    </row>
    <row r="22" spans="1:9" ht="33" customHeight="1">
      <c r="A22" s="48" t="s">
        <v>241</v>
      </c>
      <c r="B22" s="49" t="s">
        <v>242</v>
      </c>
      <c r="C22" s="50" t="s">
        <v>237</v>
      </c>
      <c r="D22" s="48" t="s">
        <v>27</v>
      </c>
      <c r="E22" s="51" t="str">
        <f t="shared" si="2"/>
        <v/>
      </c>
      <c r="F22" s="51" t="str">
        <f t="shared" si="3"/>
        <v>❌</v>
      </c>
      <c r="G22" s="52" t="s">
        <v>43</v>
      </c>
      <c r="H22" s="70" t="s">
        <v>243</v>
      </c>
      <c r="I22" s="42" t="s">
        <v>51</v>
      </c>
    </row>
    <row r="23" spans="1:9" ht="19.5" customHeight="1">
      <c r="A23" s="48" t="s">
        <v>244</v>
      </c>
      <c r="B23" s="49" t="s">
        <v>245</v>
      </c>
      <c r="C23" s="50" t="s">
        <v>246</v>
      </c>
      <c r="D23" s="48" t="s">
        <v>27</v>
      </c>
      <c r="E23" s="51" t="str">
        <f t="shared" si="2"/>
        <v>✅</v>
      </c>
      <c r="F23" s="51" t="str">
        <f t="shared" si="3"/>
        <v/>
      </c>
      <c r="G23" s="52" t="s">
        <v>42</v>
      </c>
      <c r="H23" s="71"/>
      <c r="I23" s="42" t="s">
        <v>51</v>
      </c>
    </row>
    <row r="24" spans="1:9" ht="32.25" customHeight="1">
      <c r="A24" s="48" t="s">
        <v>247</v>
      </c>
      <c r="B24" s="49" t="s">
        <v>248</v>
      </c>
      <c r="C24" s="50" t="s">
        <v>249</v>
      </c>
      <c r="D24" s="48" t="s">
        <v>27</v>
      </c>
      <c r="E24" s="51" t="str">
        <f t="shared" si="2"/>
        <v/>
      </c>
      <c r="F24" s="51" t="str">
        <f t="shared" si="3"/>
        <v>❌</v>
      </c>
      <c r="G24" s="52" t="s">
        <v>43</v>
      </c>
      <c r="H24" s="70" t="s">
        <v>250</v>
      </c>
      <c r="I24" s="42" t="s">
        <v>51</v>
      </c>
    </row>
    <row r="25" spans="1:9" ht="27" customHeight="1">
      <c r="A25" s="37" t="s">
        <v>251</v>
      </c>
      <c r="B25" s="38" t="s">
        <v>252</v>
      </c>
      <c r="C25" s="39" t="s">
        <v>253</v>
      </c>
      <c r="D25" s="37" t="s">
        <v>30</v>
      </c>
      <c r="E25" s="40" t="str">
        <f t="shared" si="2"/>
        <v/>
      </c>
      <c r="F25" s="40" t="str">
        <f t="shared" si="3"/>
        <v>❌</v>
      </c>
      <c r="G25" s="41" t="s">
        <v>43</v>
      </c>
      <c r="H25" s="73" t="s">
        <v>254</v>
      </c>
      <c r="I25" s="42" t="s">
        <v>51</v>
      </c>
    </row>
    <row r="26" spans="1:9" ht="19.5" customHeight="1">
      <c r="A26" s="48" t="s">
        <v>255</v>
      </c>
      <c r="B26" s="59" t="s">
        <v>256</v>
      </c>
      <c r="C26" s="50" t="s">
        <v>253</v>
      </c>
      <c r="D26" s="48" t="s">
        <v>27</v>
      </c>
      <c r="E26" s="51" t="str">
        <f t="shared" si="2"/>
        <v>✅</v>
      </c>
      <c r="F26" s="51" t="str">
        <f t="shared" si="3"/>
        <v/>
      </c>
      <c r="G26" s="52" t="s">
        <v>42</v>
      </c>
      <c r="H26" s="71"/>
      <c r="I26" s="42" t="s">
        <v>51</v>
      </c>
    </row>
    <row r="27" spans="1:9" ht="31.5" customHeight="1">
      <c r="A27" s="37" t="s">
        <v>257</v>
      </c>
      <c r="B27" s="38" t="s">
        <v>258</v>
      </c>
      <c r="C27" s="39" t="s">
        <v>253</v>
      </c>
      <c r="D27" s="37" t="s">
        <v>30</v>
      </c>
      <c r="E27" s="40" t="str">
        <f t="shared" si="2"/>
        <v/>
      </c>
      <c r="F27" s="40" t="str">
        <f t="shared" si="3"/>
        <v>❌</v>
      </c>
      <c r="G27" s="41" t="s">
        <v>43</v>
      </c>
      <c r="H27" s="73" t="s">
        <v>259</v>
      </c>
      <c r="I27" s="42" t="s">
        <v>51</v>
      </c>
    </row>
    <row r="28" spans="1:9" ht="19.5" customHeight="1">
      <c r="A28" s="48" t="s">
        <v>260</v>
      </c>
      <c r="B28" s="49" t="s">
        <v>261</v>
      </c>
      <c r="C28" s="50" t="s">
        <v>253</v>
      </c>
      <c r="D28" s="48" t="s">
        <v>27</v>
      </c>
      <c r="E28" s="51" t="str">
        <f t="shared" si="2"/>
        <v>✅</v>
      </c>
      <c r="F28" s="51" t="str">
        <f t="shared" si="3"/>
        <v/>
      </c>
      <c r="G28" s="52" t="s">
        <v>42</v>
      </c>
      <c r="H28" s="71"/>
      <c r="I28" s="42" t="s">
        <v>51</v>
      </c>
    </row>
    <row r="29" spans="1:9" ht="19.5" customHeight="1">
      <c r="A29" s="48" t="s">
        <v>262</v>
      </c>
      <c r="B29" s="49" t="s">
        <v>263</v>
      </c>
      <c r="C29" s="50" t="s">
        <v>253</v>
      </c>
      <c r="D29" s="48" t="s">
        <v>27</v>
      </c>
      <c r="E29" s="51" t="str">
        <f t="shared" si="2"/>
        <v>✅</v>
      </c>
      <c r="F29" s="51" t="str">
        <f t="shared" si="3"/>
        <v/>
      </c>
      <c r="G29" s="52" t="s">
        <v>42</v>
      </c>
      <c r="H29" s="71"/>
      <c r="I29" s="42" t="s">
        <v>51</v>
      </c>
    </row>
    <row r="30" spans="1:9" ht="19.5" customHeight="1">
      <c r="A30" s="48" t="s">
        <v>264</v>
      </c>
      <c r="B30" s="49" t="s">
        <v>265</v>
      </c>
      <c r="C30" s="50" t="s">
        <v>253</v>
      </c>
      <c r="D30" s="48" t="s">
        <v>27</v>
      </c>
      <c r="E30" s="51" t="str">
        <f t="shared" si="2"/>
        <v>✅</v>
      </c>
      <c r="F30" s="51" t="str">
        <f t="shared" si="3"/>
        <v/>
      </c>
      <c r="G30" s="52" t="s">
        <v>42</v>
      </c>
      <c r="H30" s="71"/>
      <c r="I30" s="42" t="s">
        <v>51</v>
      </c>
    </row>
    <row r="31" spans="1:9" ht="19.5" customHeight="1">
      <c r="A31" s="48" t="s">
        <v>266</v>
      </c>
      <c r="B31" s="49" t="s">
        <v>267</v>
      </c>
      <c r="C31" s="50" t="s">
        <v>253</v>
      </c>
      <c r="D31" s="48" t="s">
        <v>27</v>
      </c>
      <c r="E31" s="51" t="str">
        <f t="shared" si="2"/>
        <v>✅</v>
      </c>
      <c r="F31" s="51" t="str">
        <f t="shared" si="3"/>
        <v/>
      </c>
      <c r="G31" s="52" t="s">
        <v>42</v>
      </c>
      <c r="H31" s="71"/>
      <c r="I31" s="42" t="s">
        <v>51</v>
      </c>
    </row>
    <row r="32" spans="1:9" ht="21.75" customHeight="1">
      <c r="A32" s="128" t="s">
        <v>268</v>
      </c>
      <c r="B32" s="109"/>
      <c r="C32" s="109"/>
      <c r="D32" s="109"/>
      <c r="E32" s="109"/>
      <c r="F32" s="109"/>
      <c r="G32" s="109"/>
      <c r="H32" s="109"/>
      <c r="I32" s="110"/>
    </row>
    <row r="33" spans="1:9" ht="19.5" customHeight="1">
      <c r="A33" s="48" t="s">
        <v>269</v>
      </c>
      <c r="B33" s="49" t="s">
        <v>270</v>
      </c>
      <c r="C33" s="50" t="s">
        <v>54</v>
      </c>
      <c r="D33" s="48" t="s">
        <v>27</v>
      </c>
      <c r="E33" s="51" t="str">
        <f t="shared" ref="E33:E42" si="4">IF(G33="Pass","✅","")</f>
        <v>✅</v>
      </c>
      <c r="F33" s="51" t="str">
        <f t="shared" ref="F33:F42" si="5">IF(G33="Fail","❌","")</f>
        <v/>
      </c>
      <c r="G33" s="52" t="s">
        <v>42</v>
      </c>
      <c r="H33" s="71"/>
      <c r="I33" s="42" t="s">
        <v>51</v>
      </c>
    </row>
    <row r="34" spans="1:9" ht="19.5" customHeight="1">
      <c r="A34" s="48" t="s">
        <v>271</v>
      </c>
      <c r="B34" s="49" t="s">
        <v>272</v>
      </c>
      <c r="C34" s="50" t="s">
        <v>176</v>
      </c>
      <c r="D34" s="48" t="s">
        <v>27</v>
      </c>
      <c r="E34" s="51" t="str">
        <f t="shared" si="4"/>
        <v>✅</v>
      </c>
      <c r="F34" s="51" t="str">
        <f t="shared" si="5"/>
        <v/>
      </c>
      <c r="G34" s="52" t="s">
        <v>42</v>
      </c>
      <c r="H34" s="71"/>
      <c r="I34" s="42" t="s">
        <v>51</v>
      </c>
    </row>
    <row r="35" spans="1:9" ht="19.5" customHeight="1">
      <c r="A35" s="43" t="s">
        <v>273</v>
      </c>
      <c r="B35" s="44" t="s">
        <v>274</v>
      </c>
      <c r="C35" s="45" t="s">
        <v>275</v>
      </c>
      <c r="D35" s="43" t="s">
        <v>24</v>
      </c>
      <c r="E35" s="46" t="str">
        <f t="shared" si="4"/>
        <v>✅</v>
      </c>
      <c r="F35" s="46" t="str">
        <f t="shared" si="5"/>
        <v/>
      </c>
      <c r="G35" s="47" t="s">
        <v>42</v>
      </c>
      <c r="H35" s="69"/>
      <c r="I35" s="42" t="s">
        <v>51</v>
      </c>
    </row>
    <row r="36" spans="1:9" ht="19.5" customHeight="1">
      <c r="A36" s="43" t="s">
        <v>276</v>
      </c>
      <c r="B36" s="44" t="s">
        <v>277</v>
      </c>
      <c r="C36" s="45" t="s">
        <v>278</v>
      </c>
      <c r="D36" s="43" t="s">
        <v>24</v>
      </c>
      <c r="E36" s="46" t="str">
        <f t="shared" si="4"/>
        <v>✅</v>
      </c>
      <c r="F36" s="46" t="str">
        <f t="shared" si="5"/>
        <v/>
      </c>
      <c r="G36" s="47" t="s">
        <v>42</v>
      </c>
      <c r="H36" s="69"/>
      <c r="I36" s="42" t="s">
        <v>51</v>
      </c>
    </row>
    <row r="37" spans="1:9" ht="19.5" customHeight="1">
      <c r="A37" s="48" t="s">
        <v>279</v>
      </c>
      <c r="B37" s="49" t="s">
        <v>280</v>
      </c>
      <c r="C37" s="50" t="s">
        <v>253</v>
      </c>
      <c r="D37" s="48" t="s">
        <v>27</v>
      </c>
      <c r="E37" s="51" t="str">
        <f t="shared" si="4"/>
        <v>✅</v>
      </c>
      <c r="F37" s="51" t="str">
        <f t="shared" si="5"/>
        <v/>
      </c>
      <c r="G37" s="52" t="s">
        <v>42</v>
      </c>
      <c r="H37" s="71"/>
      <c r="I37" s="42" t="s">
        <v>51</v>
      </c>
    </row>
    <row r="38" spans="1:9" ht="19.5" customHeight="1">
      <c r="A38" s="48" t="s">
        <v>281</v>
      </c>
      <c r="B38" s="49" t="s">
        <v>282</v>
      </c>
      <c r="C38" s="50" t="s">
        <v>253</v>
      </c>
      <c r="D38" s="48" t="s">
        <v>27</v>
      </c>
      <c r="E38" s="51" t="str">
        <f t="shared" si="4"/>
        <v>✅</v>
      </c>
      <c r="F38" s="51" t="str">
        <f t="shared" si="5"/>
        <v/>
      </c>
      <c r="G38" s="52" t="s">
        <v>42</v>
      </c>
      <c r="H38" s="71"/>
      <c r="I38" s="42" t="s">
        <v>51</v>
      </c>
    </row>
    <row r="39" spans="1:9" ht="19.5" customHeight="1">
      <c r="A39" s="48" t="s">
        <v>283</v>
      </c>
      <c r="B39" s="49" t="s">
        <v>284</v>
      </c>
      <c r="C39" s="50" t="s">
        <v>285</v>
      </c>
      <c r="D39" s="48" t="s">
        <v>27</v>
      </c>
      <c r="E39" s="51" t="str">
        <f t="shared" si="4"/>
        <v/>
      </c>
      <c r="F39" s="51" t="str">
        <f t="shared" si="5"/>
        <v/>
      </c>
      <c r="G39" s="74" t="s">
        <v>162</v>
      </c>
      <c r="H39" s="71"/>
      <c r="I39" s="42"/>
    </row>
    <row r="40" spans="1:9" ht="19.5" customHeight="1">
      <c r="A40" s="43" t="s">
        <v>286</v>
      </c>
      <c r="B40" s="44" t="s">
        <v>287</v>
      </c>
      <c r="C40" s="45" t="s">
        <v>288</v>
      </c>
      <c r="D40" s="43" t="s">
        <v>24</v>
      </c>
      <c r="E40" s="46" t="str">
        <f t="shared" si="4"/>
        <v>✅</v>
      </c>
      <c r="F40" s="46" t="str">
        <f t="shared" si="5"/>
        <v/>
      </c>
      <c r="G40" s="47" t="s">
        <v>42</v>
      </c>
      <c r="H40" s="69"/>
      <c r="I40" s="42" t="s">
        <v>51</v>
      </c>
    </row>
    <row r="41" spans="1:9" ht="19.5" customHeight="1">
      <c r="A41" s="43" t="s">
        <v>289</v>
      </c>
      <c r="B41" s="44" t="s">
        <v>290</v>
      </c>
      <c r="C41" s="45" t="s">
        <v>291</v>
      </c>
      <c r="D41" s="43" t="s">
        <v>24</v>
      </c>
      <c r="E41" s="46" t="str">
        <f t="shared" si="4"/>
        <v/>
      </c>
      <c r="F41" s="46" t="str">
        <f t="shared" si="5"/>
        <v>❌</v>
      </c>
      <c r="G41" s="47" t="s">
        <v>43</v>
      </c>
      <c r="H41" s="75" t="s">
        <v>292</v>
      </c>
      <c r="I41" s="42" t="s">
        <v>51</v>
      </c>
    </row>
    <row r="42" spans="1:9" ht="42.75" customHeight="1">
      <c r="A42" s="48" t="s">
        <v>293</v>
      </c>
      <c r="B42" s="49" t="s">
        <v>294</v>
      </c>
      <c r="C42" s="50" t="s">
        <v>295</v>
      </c>
      <c r="D42" s="48" t="s">
        <v>27</v>
      </c>
      <c r="E42" s="51" t="str">
        <f t="shared" si="4"/>
        <v/>
      </c>
      <c r="F42" s="51" t="str">
        <f t="shared" si="5"/>
        <v>❌</v>
      </c>
      <c r="G42" s="52" t="s">
        <v>43</v>
      </c>
      <c r="H42" s="76" t="s">
        <v>296</v>
      </c>
      <c r="I42" s="42" t="s">
        <v>51</v>
      </c>
    </row>
    <row r="43" spans="1:9" ht="21.75" customHeight="1">
      <c r="A43" s="128" t="s">
        <v>297</v>
      </c>
      <c r="B43" s="109"/>
      <c r="C43" s="109"/>
      <c r="D43" s="109"/>
      <c r="E43" s="109"/>
      <c r="F43" s="109"/>
      <c r="G43" s="109"/>
      <c r="H43" s="109"/>
      <c r="I43" s="110"/>
    </row>
    <row r="44" spans="1:9" ht="19.5" customHeight="1">
      <c r="A44" s="43" t="s">
        <v>298</v>
      </c>
      <c r="B44" s="44" t="s">
        <v>299</v>
      </c>
      <c r="C44" s="45" t="s">
        <v>300</v>
      </c>
      <c r="D44" s="43" t="s">
        <v>24</v>
      </c>
      <c r="E44" s="46" t="str">
        <f t="shared" ref="E44:E58" si="6">IF(G44="Pass","✅","")</f>
        <v>✅</v>
      </c>
      <c r="F44" s="46" t="str">
        <f t="shared" ref="F44:F58" si="7">IF(G44="Fail","❌","")</f>
        <v/>
      </c>
      <c r="G44" s="47" t="s">
        <v>42</v>
      </c>
      <c r="H44" s="69"/>
      <c r="I44" s="42" t="s">
        <v>51</v>
      </c>
    </row>
    <row r="45" spans="1:9" ht="19.5" customHeight="1">
      <c r="A45" s="43" t="s">
        <v>301</v>
      </c>
      <c r="B45" s="44" t="s">
        <v>302</v>
      </c>
      <c r="C45" s="45" t="s">
        <v>303</v>
      </c>
      <c r="D45" s="43" t="s">
        <v>24</v>
      </c>
      <c r="E45" s="46" t="str">
        <f t="shared" si="6"/>
        <v/>
      </c>
      <c r="F45" s="46" t="str">
        <f t="shared" si="7"/>
        <v>❌</v>
      </c>
      <c r="G45" s="47" t="s">
        <v>43</v>
      </c>
      <c r="H45" s="75" t="s">
        <v>292</v>
      </c>
      <c r="I45" s="42" t="s">
        <v>51</v>
      </c>
    </row>
    <row r="46" spans="1:9" ht="19.5" customHeight="1">
      <c r="A46" s="43" t="s">
        <v>304</v>
      </c>
      <c r="B46" s="44" t="s">
        <v>305</v>
      </c>
      <c r="C46" s="45" t="s">
        <v>306</v>
      </c>
      <c r="D46" s="43" t="s">
        <v>24</v>
      </c>
      <c r="E46" s="46" t="str">
        <f t="shared" si="6"/>
        <v>✅</v>
      </c>
      <c r="F46" s="46" t="str">
        <f t="shared" si="7"/>
        <v/>
      </c>
      <c r="G46" s="47" t="s">
        <v>42</v>
      </c>
      <c r="H46" s="69"/>
      <c r="I46" s="42" t="s">
        <v>51</v>
      </c>
    </row>
    <row r="47" spans="1:9" ht="19.5" customHeight="1">
      <c r="A47" s="43" t="s">
        <v>307</v>
      </c>
      <c r="B47" s="44" t="s">
        <v>308</v>
      </c>
      <c r="C47" s="45" t="s">
        <v>291</v>
      </c>
      <c r="D47" s="43" t="s">
        <v>24</v>
      </c>
      <c r="E47" s="46" t="str">
        <f t="shared" si="6"/>
        <v>✅</v>
      </c>
      <c r="F47" s="46" t="str">
        <f t="shared" si="7"/>
        <v/>
      </c>
      <c r="G47" s="47" t="s">
        <v>42</v>
      </c>
      <c r="H47" s="69"/>
      <c r="I47" s="42" t="s">
        <v>51</v>
      </c>
    </row>
    <row r="48" spans="1:9" ht="19.5" customHeight="1">
      <c r="A48" s="43" t="s">
        <v>309</v>
      </c>
      <c r="B48" s="44" t="s">
        <v>310</v>
      </c>
      <c r="C48" s="45" t="s">
        <v>291</v>
      </c>
      <c r="D48" s="43" t="s">
        <v>24</v>
      </c>
      <c r="E48" s="46" t="str">
        <f t="shared" si="6"/>
        <v>✅</v>
      </c>
      <c r="F48" s="46" t="str">
        <f t="shared" si="7"/>
        <v/>
      </c>
      <c r="G48" s="47" t="s">
        <v>42</v>
      </c>
      <c r="H48" s="69"/>
      <c r="I48" s="42" t="s">
        <v>51</v>
      </c>
    </row>
    <row r="49" spans="1:9" ht="19.5" customHeight="1">
      <c r="A49" s="43" t="s">
        <v>311</v>
      </c>
      <c r="B49" s="44" t="s">
        <v>312</v>
      </c>
      <c r="C49" s="45" t="s">
        <v>291</v>
      </c>
      <c r="D49" s="43" t="s">
        <v>24</v>
      </c>
      <c r="E49" s="46" t="str">
        <f t="shared" si="6"/>
        <v>✅</v>
      </c>
      <c r="F49" s="46" t="str">
        <f t="shared" si="7"/>
        <v/>
      </c>
      <c r="G49" s="47" t="s">
        <v>42</v>
      </c>
      <c r="H49" s="69"/>
      <c r="I49" s="42" t="s">
        <v>51</v>
      </c>
    </row>
    <row r="50" spans="1:9" ht="19.5" customHeight="1">
      <c r="A50" s="48" t="s">
        <v>313</v>
      </c>
      <c r="B50" s="49" t="s">
        <v>314</v>
      </c>
      <c r="C50" s="50" t="s">
        <v>291</v>
      </c>
      <c r="D50" s="48" t="s">
        <v>27</v>
      </c>
      <c r="E50" s="51" t="str">
        <f t="shared" si="6"/>
        <v>✅</v>
      </c>
      <c r="F50" s="51" t="str">
        <f t="shared" si="7"/>
        <v/>
      </c>
      <c r="G50" s="52" t="s">
        <v>42</v>
      </c>
      <c r="H50" s="71"/>
      <c r="I50" s="42" t="s">
        <v>51</v>
      </c>
    </row>
    <row r="51" spans="1:9" ht="45" customHeight="1">
      <c r="A51" s="48" t="s">
        <v>315</v>
      </c>
      <c r="B51" s="49" t="s">
        <v>316</v>
      </c>
      <c r="C51" s="50" t="s">
        <v>317</v>
      </c>
      <c r="D51" s="48" t="s">
        <v>27</v>
      </c>
      <c r="E51" s="51" t="str">
        <f t="shared" si="6"/>
        <v/>
      </c>
      <c r="F51" s="51" t="str">
        <f t="shared" si="7"/>
        <v>❌</v>
      </c>
      <c r="G51" s="52" t="s">
        <v>43</v>
      </c>
      <c r="H51" s="70" t="s">
        <v>318</v>
      </c>
      <c r="I51" s="42" t="s">
        <v>51</v>
      </c>
    </row>
    <row r="52" spans="1:9" ht="39" customHeight="1">
      <c r="A52" s="48" t="s">
        <v>319</v>
      </c>
      <c r="B52" s="49" t="s">
        <v>320</v>
      </c>
      <c r="C52" s="50" t="s">
        <v>317</v>
      </c>
      <c r="D52" s="48" t="s">
        <v>27</v>
      </c>
      <c r="E52" s="51" t="str">
        <f t="shared" si="6"/>
        <v/>
      </c>
      <c r="F52" s="51" t="str">
        <f t="shared" si="7"/>
        <v>❌</v>
      </c>
      <c r="G52" s="52" t="s">
        <v>43</v>
      </c>
      <c r="H52" s="70" t="s">
        <v>321</v>
      </c>
      <c r="I52" s="42" t="s">
        <v>51</v>
      </c>
    </row>
    <row r="53" spans="1:9" ht="19.5" customHeight="1">
      <c r="A53" s="43" t="s">
        <v>322</v>
      </c>
      <c r="B53" s="44" t="s">
        <v>323</v>
      </c>
      <c r="C53" s="45" t="s">
        <v>324</v>
      </c>
      <c r="D53" s="43" t="s">
        <v>24</v>
      </c>
      <c r="E53" s="46" t="str">
        <f t="shared" si="6"/>
        <v/>
      </c>
      <c r="F53" s="46" t="str">
        <f t="shared" si="7"/>
        <v>❌</v>
      </c>
      <c r="G53" s="47" t="s">
        <v>43</v>
      </c>
      <c r="H53" s="75" t="s">
        <v>292</v>
      </c>
      <c r="I53" s="42" t="s">
        <v>51</v>
      </c>
    </row>
    <row r="54" spans="1:9" ht="19.5" customHeight="1">
      <c r="A54" s="43" t="s">
        <v>325</v>
      </c>
      <c r="B54" s="44" t="s">
        <v>326</v>
      </c>
      <c r="C54" s="45" t="s">
        <v>324</v>
      </c>
      <c r="D54" s="43" t="s">
        <v>24</v>
      </c>
      <c r="E54" s="46" t="str">
        <f t="shared" si="6"/>
        <v/>
      </c>
      <c r="F54" s="46" t="str">
        <f t="shared" si="7"/>
        <v>❌</v>
      </c>
      <c r="G54" s="47" t="s">
        <v>43</v>
      </c>
      <c r="H54" s="75" t="s">
        <v>292</v>
      </c>
      <c r="I54" s="42" t="s">
        <v>51</v>
      </c>
    </row>
    <row r="55" spans="1:9" ht="19.5" customHeight="1">
      <c r="A55" s="43" t="s">
        <v>327</v>
      </c>
      <c r="B55" s="44" t="s">
        <v>328</v>
      </c>
      <c r="C55" s="45" t="s">
        <v>329</v>
      </c>
      <c r="D55" s="43" t="s">
        <v>24</v>
      </c>
      <c r="E55" s="46" t="str">
        <f t="shared" si="6"/>
        <v/>
      </c>
      <c r="F55" s="46" t="str">
        <f t="shared" si="7"/>
        <v>❌</v>
      </c>
      <c r="G55" s="47" t="s">
        <v>43</v>
      </c>
      <c r="H55" s="75" t="s">
        <v>292</v>
      </c>
      <c r="I55" s="42" t="s">
        <v>51</v>
      </c>
    </row>
    <row r="56" spans="1:9" ht="19.5" customHeight="1">
      <c r="A56" s="43" t="s">
        <v>330</v>
      </c>
      <c r="B56" s="44" t="s">
        <v>331</v>
      </c>
      <c r="C56" s="45" t="s">
        <v>332</v>
      </c>
      <c r="D56" s="43" t="s">
        <v>24</v>
      </c>
      <c r="E56" s="46" t="str">
        <f t="shared" si="6"/>
        <v/>
      </c>
      <c r="F56" s="46" t="str">
        <f t="shared" si="7"/>
        <v>❌</v>
      </c>
      <c r="G56" s="47" t="s">
        <v>43</v>
      </c>
      <c r="H56" s="75" t="s">
        <v>292</v>
      </c>
      <c r="I56" s="42" t="s">
        <v>51</v>
      </c>
    </row>
    <row r="57" spans="1:9" ht="19.5" customHeight="1">
      <c r="A57" s="43" t="s">
        <v>333</v>
      </c>
      <c r="B57" s="44" t="s">
        <v>334</v>
      </c>
      <c r="C57" s="45" t="s">
        <v>332</v>
      </c>
      <c r="D57" s="43" t="s">
        <v>24</v>
      </c>
      <c r="E57" s="46" t="str">
        <f t="shared" si="6"/>
        <v/>
      </c>
      <c r="F57" s="46" t="str">
        <f t="shared" si="7"/>
        <v>❌</v>
      </c>
      <c r="G57" s="47" t="s">
        <v>43</v>
      </c>
      <c r="H57" s="75" t="s">
        <v>292</v>
      </c>
      <c r="I57" s="42" t="s">
        <v>51</v>
      </c>
    </row>
    <row r="58" spans="1:9" ht="19.5" customHeight="1">
      <c r="A58" s="43" t="s">
        <v>335</v>
      </c>
      <c r="B58" s="44" t="s">
        <v>336</v>
      </c>
      <c r="C58" s="45" t="s">
        <v>337</v>
      </c>
      <c r="D58" s="43" t="s">
        <v>24</v>
      </c>
      <c r="E58" s="46" t="str">
        <f t="shared" si="6"/>
        <v/>
      </c>
      <c r="F58" s="46" t="str">
        <f t="shared" si="7"/>
        <v>❌</v>
      </c>
      <c r="G58" s="47" t="s">
        <v>43</v>
      </c>
      <c r="H58" s="75" t="s">
        <v>292</v>
      </c>
      <c r="I58" s="42" t="s">
        <v>51</v>
      </c>
    </row>
    <row r="59" spans="1:9" ht="21.75" customHeight="1">
      <c r="A59" s="128" t="s">
        <v>338</v>
      </c>
      <c r="B59" s="109"/>
      <c r="C59" s="109"/>
      <c r="D59" s="109"/>
      <c r="E59" s="109"/>
      <c r="F59" s="109"/>
      <c r="G59" s="109"/>
      <c r="H59" s="109"/>
      <c r="I59" s="110"/>
    </row>
    <row r="60" spans="1:9" ht="19.5" customHeight="1">
      <c r="A60" s="48" t="s">
        <v>339</v>
      </c>
      <c r="B60" s="49" t="s">
        <v>340</v>
      </c>
      <c r="C60" s="50" t="s">
        <v>99</v>
      </c>
      <c r="D60" s="48" t="s">
        <v>27</v>
      </c>
      <c r="E60" s="51" t="str">
        <f t="shared" ref="E60:E69" si="8">IF(G60="Pass","✅","")</f>
        <v>✅</v>
      </c>
      <c r="F60" s="51" t="str">
        <f t="shared" ref="F60:F69" si="9">IF(G60="Fail","❌","")</f>
        <v/>
      </c>
      <c r="G60" s="52" t="s">
        <v>42</v>
      </c>
      <c r="H60" s="71"/>
      <c r="I60" s="42" t="s">
        <v>51</v>
      </c>
    </row>
    <row r="61" spans="1:9" ht="19.5" customHeight="1">
      <c r="A61" s="48" t="s">
        <v>341</v>
      </c>
      <c r="B61" s="49" t="s">
        <v>342</v>
      </c>
      <c r="C61" s="50" t="s">
        <v>343</v>
      </c>
      <c r="D61" s="48" t="s">
        <v>27</v>
      </c>
      <c r="E61" s="51" t="str">
        <f t="shared" si="8"/>
        <v>✅</v>
      </c>
      <c r="F61" s="51" t="str">
        <f t="shared" si="9"/>
        <v/>
      </c>
      <c r="G61" s="52" t="s">
        <v>42</v>
      </c>
      <c r="H61" s="71"/>
      <c r="I61" s="42" t="s">
        <v>51</v>
      </c>
    </row>
    <row r="62" spans="1:9" ht="19.5" customHeight="1">
      <c r="A62" s="37" t="s">
        <v>344</v>
      </c>
      <c r="B62" s="38" t="s">
        <v>345</v>
      </c>
      <c r="C62" s="39" t="s">
        <v>346</v>
      </c>
      <c r="D62" s="37" t="s">
        <v>30</v>
      </c>
      <c r="E62" s="40" t="str">
        <f t="shared" si="8"/>
        <v>✅</v>
      </c>
      <c r="F62" s="40" t="str">
        <f t="shared" si="9"/>
        <v/>
      </c>
      <c r="G62" s="41" t="s">
        <v>42</v>
      </c>
      <c r="H62" s="77"/>
      <c r="I62" s="42" t="s">
        <v>51</v>
      </c>
    </row>
    <row r="63" spans="1:9" ht="19.5" customHeight="1">
      <c r="A63" s="48" t="s">
        <v>347</v>
      </c>
      <c r="B63" s="49" t="s">
        <v>348</v>
      </c>
      <c r="C63" s="50" t="s">
        <v>139</v>
      </c>
      <c r="D63" s="48" t="s">
        <v>27</v>
      </c>
      <c r="E63" s="51" t="str">
        <f t="shared" si="8"/>
        <v>✅</v>
      </c>
      <c r="F63" s="51" t="str">
        <f t="shared" si="9"/>
        <v/>
      </c>
      <c r="G63" s="52" t="s">
        <v>42</v>
      </c>
      <c r="H63" s="71"/>
      <c r="I63" s="42" t="s">
        <v>51</v>
      </c>
    </row>
    <row r="64" spans="1:9" ht="19.5" customHeight="1">
      <c r="A64" s="48" t="s">
        <v>349</v>
      </c>
      <c r="B64" s="49" t="s">
        <v>350</v>
      </c>
      <c r="C64" s="50" t="s">
        <v>139</v>
      </c>
      <c r="D64" s="48" t="s">
        <v>27</v>
      </c>
      <c r="E64" s="51" t="str">
        <f t="shared" si="8"/>
        <v/>
      </c>
      <c r="F64" s="51" t="str">
        <f t="shared" si="9"/>
        <v>❌</v>
      </c>
      <c r="G64" s="52" t="s">
        <v>43</v>
      </c>
      <c r="H64" s="70" t="s">
        <v>351</v>
      </c>
      <c r="I64" s="42" t="s">
        <v>51</v>
      </c>
    </row>
    <row r="65" spans="1:9" ht="39.75" customHeight="1">
      <c r="A65" s="48" t="s">
        <v>352</v>
      </c>
      <c r="B65" s="49" t="s">
        <v>353</v>
      </c>
      <c r="C65" s="50" t="s">
        <v>139</v>
      </c>
      <c r="D65" s="48" t="s">
        <v>27</v>
      </c>
      <c r="E65" s="51" t="str">
        <f t="shared" si="8"/>
        <v>✅</v>
      </c>
      <c r="F65" s="51" t="str">
        <f t="shared" si="9"/>
        <v/>
      </c>
      <c r="G65" s="52" t="s">
        <v>42</v>
      </c>
      <c r="H65" s="70" t="s">
        <v>354</v>
      </c>
      <c r="I65" s="42" t="s">
        <v>51</v>
      </c>
    </row>
    <row r="66" spans="1:9" ht="39" customHeight="1">
      <c r="A66" s="48" t="s">
        <v>355</v>
      </c>
      <c r="B66" s="49" t="s">
        <v>356</v>
      </c>
      <c r="C66" s="50" t="s">
        <v>139</v>
      </c>
      <c r="D66" s="48" t="s">
        <v>27</v>
      </c>
      <c r="E66" s="51" t="str">
        <f t="shared" si="8"/>
        <v/>
      </c>
      <c r="F66" s="51" t="str">
        <f t="shared" si="9"/>
        <v>❌</v>
      </c>
      <c r="G66" s="52" t="s">
        <v>43</v>
      </c>
      <c r="H66" s="70" t="s">
        <v>357</v>
      </c>
      <c r="I66" s="42" t="s">
        <v>51</v>
      </c>
    </row>
    <row r="67" spans="1:9" ht="30" customHeight="1">
      <c r="A67" s="48" t="s">
        <v>358</v>
      </c>
      <c r="B67" s="49" t="s">
        <v>359</v>
      </c>
      <c r="C67" s="50" t="s">
        <v>139</v>
      </c>
      <c r="D67" s="48" t="s">
        <v>27</v>
      </c>
      <c r="E67" s="51" t="str">
        <f t="shared" si="8"/>
        <v>✅</v>
      </c>
      <c r="F67" s="51" t="str">
        <f t="shared" si="9"/>
        <v/>
      </c>
      <c r="G67" s="52" t="s">
        <v>42</v>
      </c>
      <c r="I67" s="42" t="s">
        <v>51</v>
      </c>
    </row>
    <row r="68" spans="1:9" ht="19.5" customHeight="1">
      <c r="A68" s="48" t="s">
        <v>360</v>
      </c>
      <c r="B68" s="49" t="s">
        <v>361</v>
      </c>
      <c r="C68" s="50" t="s">
        <v>343</v>
      </c>
      <c r="D68" s="48" t="s">
        <v>27</v>
      </c>
      <c r="E68" s="51" t="str">
        <f t="shared" si="8"/>
        <v>✅</v>
      </c>
      <c r="F68" s="51" t="str">
        <f t="shared" si="9"/>
        <v/>
      </c>
      <c r="G68" s="52" t="s">
        <v>42</v>
      </c>
      <c r="H68" s="71"/>
      <c r="I68" s="42" t="s">
        <v>51</v>
      </c>
    </row>
    <row r="69" spans="1:9" ht="19.5" customHeight="1">
      <c r="A69" s="37" t="s">
        <v>362</v>
      </c>
      <c r="B69" s="38" t="s">
        <v>363</v>
      </c>
      <c r="C69" s="39" t="s">
        <v>364</v>
      </c>
      <c r="D69" s="37" t="s">
        <v>30</v>
      </c>
      <c r="E69" s="40" t="str">
        <f t="shared" si="8"/>
        <v>✅</v>
      </c>
      <c r="F69" s="40" t="str">
        <f t="shared" si="9"/>
        <v/>
      </c>
      <c r="G69" s="41" t="s">
        <v>42</v>
      </c>
      <c r="H69" s="77"/>
      <c r="I69" s="42" t="s">
        <v>51</v>
      </c>
    </row>
    <row r="70" spans="1:9" ht="21.75" customHeight="1">
      <c r="A70" s="128" t="s">
        <v>365</v>
      </c>
      <c r="B70" s="109"/>
      <c r="C70" s="109"/>
      <c r="D70" s="109"/>
      <c r="E70" s="109"/>
      <c r="F70" s="109"/>
      <c r="G70" s="109"/>
      <c r="H70" s="109"/>
      <c r="I70" s="110"/>
    </row>
    <row r="71" spans="1:9" ht="19.5" customHeight="1">
      <c r="A71" s="43" t="s">
        <v>366</v>
      </c>
      <c r="B71" s="44" t="s">
        <v>367</v>
      </c>
      <c r="C71" s="45" t="s">
        <v>230</v>
      </c>
      <c r="D71" s="43" t="s">
        <v>24</v>
      </c>
      <c r="E71" s="46" t="str">
        <f t="shared" ref="E71:E80" si="10">IF(G71="Pass","✅","")</f>
        <v>✅</v>
      </c>
      <c r="F71" s="46" t="str">
        <f t="shared" ref="F71:F80" si="11">IF(G71="Fail","❌","")</f>
        <v/>
      </c>
      <c r="G71" s="47" t="s">
        <v>42</v>
      </c>
      <c r="H71" s="69"/>
      <c r="I71" s="42" t="s">
        <v>51</v>
      </c>
    </row>
    <row r="72" spans="1:9" ht="19.5" customHeight="1">
      <c r="A72" s="43" t="s">
        <v>368</v>
      </c>
      <c r="B72" s="44" t="s">
        <v>369</v>
      </c>
      <c r="C72" s="45" t="s">
        <v>54</v>
      </c>
      <c r="D72" s="43" t="s">
        <v>24</v>
      </c>
      <c r="E72" s="46" t="str">
        <f t="shared" si="10"/>
        <v>✅</v>
      </c>
      <c r="F72" s="46" t="str">
        <f t="shared" si="11"/>
        <v/>
      </c>
      <c r="G72" s="47" t="s">
        <v>42</v>
      </c>
      <c r="H72" s="69"/>
      <c r="I72" s="42" t="s">
        <v>51</v>
      </c>
    </row>
    <row r="73" spans="1:9" ht="19.5" customHeight="1">
      <c r="A73" s="48" t="s">
        <v>370</v>
      </c>
      <c r="B73" s="49" t="s">
        <v>371</v>
      </c>
      <c r="C73" s="50" t="s">
        <v>372</v>
      </c>
      <c r="D73" s="48" t="s">
        <v>27</v>
      </c>
      <c r="E73" s="51" t="str">
        <f t="shared" si="10"/>
        <v>✅</v>
      </c>
      <c r="F73" s="51" t="str">
        <f t="shared" si="11"/>
        <v/>
      </c>
      <c r="G73" s="52" t="s">
        <v>42</v>
      </c>
      <c r="H73" s="71"/>
      <c r="I73" s="42" t="s">
        <v>51</v>
      </c>
    </row>
    <row r="74" spans="1:9" ht="19.5" customHeight="1">
      <c r="A74" s="43" t="s">
        <v>373</v>
      </c>
      <c r="B74" s="44" t="s">
        <v>374</v>
      </c>
      <c r="C74" s="45" t="s">
        <v>375</v>
      </c>
      <c r="D74" s="43" t="s">
        <v>24</v>
      </c>
      <c r="E74" s="46" t="str">
        <f t="shared" si="10"/>
        <v>✅</v>
      </c>
      <c r="F74" s="46" t="str">
        <f t="shared" si="11"/>
        <v/>
      </c>
      <c r="G74" s="47" t="s">
        <v>42</v>
      </c>
      <c r="H74" s="69"/>
      <c r="I74" s="42" t="s">
        <v>51</v>
      </c>
    </row>
    <row r="75" spans="1:9" ht="19.5" customHeight="1">
      <c r="A75" s="48" t="s">
        <v>376</v>
      </c>
      <c r="B75" s="49" t="s">
        <v>377</v>
      </c>
      <c r="C75" s="50" t="s">
        <v>378</v>
      </c>
      <c r="D75" s="48" t="s">
        <v>27</v>
      </c>
      <c r="E75" s="51" t="str">
        <f t="shared" si="10"/>
        <v/>
      </c>
      <c r="F75" s="51" t="str">
        <f t="shared" si="11"/>
        <v/>
      </c>
      <c r="G75" s="74" t="s">
        <v>162</v>
      </c>
      <c r="H75" s="71"/>
      <c r="I75" s="42"/>
    </row>
    <row r="76" spans="1:9" ht="19.5" customHeight="1">
      <c r="A76" s="43" t="s">
        <v>379</v>
      </c>
      <c r="B76" s="44" t="s">
        <v>380</v>
      </c>
      <c r="C76" s="45" t="s">
        <v>378</v>
      </c>
      <c r="D76" s="43" t="s">
        <v>24</v>
      </c>
      <c r="E76" s="46" t="str">
        <f t="shared" si="10"/>
        <v/>
      </c>
      <c r="F76" s="46" t="str">
        <f t="shared" si="11"/>
        <v/>
      </c>
      <c r="G76" s="78" t="s">
        <v>162</v>
      </c>
      <c r="H76" s="69"/>
      <c r="I76" s="42"/>
    </row>
    <row r="77" spans="1:9" ht="39" customHeight="1">
      <c r="A77" s="48" t="s">
        <v>381</v>
      </c>
      <c r="B77" s="49" t="s">
        <v>382</v>
      </c>
      <c r="C77" s="50" t="s">
        <v>378</v>
      </c>
      <c r="D77" s="48" t="s">
        <v>27</v>
      </c>
      <c r="E77" s="51" t="str">
        <f t="shared" si="10"/>
        <v/>
      </c>
      <c r="F77" s="51" t="str">
        <f t="shared" si="11"/>
        <v>❌</v>
      </c>
      <c r="G77" s="52" t="s">
        <v>43</v>
      </c>
      <c r="H77" s="70" t="s">
        <v>383</v>
      </c>
      <c r="I77" s="42" t="s">
        <v>51</v>
      </c>
    </row>
    <row r="78" spans="1:9" ht="19.5" customHeight="1">
      <c r="A78" s="48" t="s">
        <v>384</v>
      </c>
      <c r="B78" s="49" t="s">
        <v>385</v>
      </c>
      <c r="C78" s="50" t="s">
        <v>386</v>
      </c>
      <c r="D78" s="48" t="s">
        <v>27</v>
      </c>
      <c r="E78" s="51" t="str">
        <f t="shared" si="10"/>
        <v>✅</v>
      </c>
      <c r="F78" s="51" t="str">
        <f t="shared" si="11"/>
        <v/>
      </c>
      <c r="G78" s="52" t="s">
        <v>42</v>
      </c>
      <c r="H78" s="71"/>
      <c r="I78" s="42" t="s">
        <v>51</v>
      </c>
    </row>
    <row r="79" spans="1:9" ht="19.5" customHeight="1">
      <c r="A79" s="48" t="s">
        <v>387</v>
      </c>
      <c r="B79" s="49" t="s">
        <v>388</v>
      </c>
      <c r="C79" s="50" t="s">
        <v>386</v>
      </c>
      <c r="D79" s="48" t="s">
        <v>27</v>
      </c>
      <c r="E79" s="51" t="str">
        <f t="shared" si="10"/>
        <v>✅</v>
      </c>
      <c r="F79" s="51" t="str">
        <f t="shared" si="11"/>
        <v/>
      </c>
      <c r="G79" s="52" t="s">
        <v>42</v>
      </c>
      <c r="H79" s="71"/>
      <c r="I79" s="42" t="s">
        <v>51</v>
      </c>
    </row>
    <row r="80" spans="1:9" ht="38.25" customHeight="1">
      <c r="A80" s="43" t="s">
        <v>389</v>
      </c>
      <c r="B80" s="44" t="s">
        <v>390</v>
      </c>
      <c r="C80" s="45" t="s">
        <v>391</v>
      </c>
      <c r="D80" s="43" t="s">
        <v>24</v>
      </c>
      <c r="E80" s="46" t="str">
        <f t="shared" si="10"/>
        <v/>
      </c>
      <c r="F80" s="46" t="str">
        <f t="shared" si="11"/>
        <v>❌</v>
      </c>
      <c r="G80" s="47" t="s">
        <v>43</v>
      </c>
      <c r="H80" s="72" t="s">
        <v>392</v>
      </c>
      <c r="I80" s="42" t="s">
        <v>51</v>
      </c>
    </row>
    <row r="81" spans="1:9" ht="21.75" customHeight="1">
      <c r="A81" s="128" t="s">
        <v>393</v>
      </c>
      <c r="B81" s="109"/>
      <c r="C81" s="109"/>
      <c r="D81" s="109"/>
      <c r="E81" s="109"/>
      <c r="F81" s="109"/>
      <c r="G81" s="109"/>
      <c r="H81" s="109"/>
      <c r="I81" s="110"/>
    </row>
    <row r="82" spans="1:9" ht="19.5" customHeight="1">
      <c r="A82" s="48" t="s">
        <v>394</v>
      </c>
      <c r="B82" s="49" t="s">
        <v>395</v>
      </c>
      <c r="C82" s="50" t="s">
        <v>396</v>
      </c>
      <c r="D82" s="48" t="s">
        <v>27</v>
      </c>
      <c r="E82" s="51" t="str">
        <f t="shared" ref="E82:E91" si="12">IF(G82="Pass","✅","")</f>
        <v>✅</v>
      </c>
      <c r="F82" s="51" t="str">
        <f t="shared" ref="F82:F91" si="13">IF(G82="Fail","❌","")</f>
        <v/>
      </c>
      <c r="G82" s="52" t="s">
        <v>42</v>
      </c>
      <c r="H82" s="71"/>
      <c r="I82" s="42" t="s">
        <v>51</v>
      </c>
    </row>
    <row r="83" spans="1:9" ht="19.5" customHeight="1">
      <c r="A83" s="43" t="s">
        <v>397</v>
      </c>
      <c r="B83" s="44" t="s">
        <v>398</v>
      </c>
      <c r="C83" s="45" t="s">
        <v>399</v>
      </c>
      <c r="D83" s="43" t="s">
        <v>24</v>
      </c>
      <c r="E83" s="46" t="str">
        <f t="shared" si="12"/>
        <v>✅</v>
      </c>
      <c r="F83" s="46" t="str">
        <f t="shared" si="13"/>
        <v/>
      </c>
      <c r="G83" s="47" t="s">
        <v>42</v>
      </c>
      <c r="H83" s="69"/>
      <c r="I83" s="42" t="s">
        <v>51</v>
      </c>
    </row>
    <row r="84" spans="1:9" ht="19.5" customHeight="1">
      <c r="A84" s="43" t="s">
        <v>400</v>
      </c>
      <c r="B84" s="44" t="s">
        <v>401</v>
      </c>
      <c r="C84" s="45" t="s">
        <v>402</v>
      </c>
      <c r="D84" s="43" t="s">
        <v>24</v>
      </c>
      <c r="E84" s="46" t="str">
        <f t="shared" si="12"/>
        <v>✅</v>
      </c>
      <c r="F84" s="46" t="str">
        <f t="shared" si="13"/>
        <v/>
      </c>
      <c r="G84" s="47" t="s">
        <v>42</v>
      </c>
      <c r="H84" s="69"/>
      <c r="I84" s="42" t="s">
        <v>51</v>
      </c>
    </row>
    <row r="85" spans="1:9" ht="19.5" customHeight="1">
      <c r="A85" s="43" t="s">
        <v>403</v>
      </c>
      <c r="B85" s="44" t="s">
        <v>404</v>
      </c>
      <c r="C85" s="45" t="s">
        <v>405</v>
      </c>
      <c r="D85" s="43" t="s">
        <v>24</v>
      </c>
      <c r="E85" s="46" t="str">
        <f t="shared" si="12"/>
        <v>✅</v>
      </c>
      <c r="F85" s="46" t="str">
        <f t="shared" si="13"/>
        <v/>
      </c>
      <c r="G85" s="47" t="s">
        <v>42</v>
      </c>
      <c r="H85" s="69"/>
      <c r="I85" s="42" t="s">
        <v>51</v>
      </c>
    </row>
    <row r="86" spans="1:9" ht="19.5" customHeight="1">
      <c r="A86" s="43" t="s">
        <v>406</v>
      </c>
      <c r="B86" s="44" t="s">
        <v>407</v>
      </c>
      <c r="C86" s="45" t="s">
        <v>408</v>
      </c>
      <c r="D86" s="43" t="s">
        <v>24</v>
      </c>
      <c r="E86" s="46" t="str">
        <f t="shared" si="12"/>
        <v>✅</v>
      </c>
      <c r="F86" s="46" t="str">
        <f t="shared" si="13"/>
        <v/>
      </c>
      <c r="G86" s="47" t="s">
        <v>42</v>
      </c>
      <c r="H86" s="69"/>
      <c r="I86" s="42" t="s">
        <v>51</v>
      </c>
    </row>
    <row r="87" spans="1:9" ht="19.5" customHeight="1">
      <c r="A87" s="43" t="s">
        <v>409</v>
      </c>
      <c r="B87" s="44" t="s">
        <v>410</v>
      </c>
      <c r="C87" s="45" t="s">
        <v>411</v>
      </c>
      <c r="D87" s="43" t="s">
        <v>24</v>
      </c>
      <c r="E87" s="46" t="str">
        <f t="shared" si="12"/>
        <v/>
      </c>
      <c r="F87" s="46" t="str">
        <f t="shared" si="13"/>
        <v/>
      </c>
      <c r="G87" s="78" t="s">
        <v>162</v>
      </c>
      <c r="H87" s="69"/>
      <c r="I87" s="42" t="s">
        <v>51</v>
      </c>
    </row>
    <row r="88" spans="1:9" ht="19.5" customHeight="1">
      <c r="A88" s="48" t="s">
        <v>412</v>
      </c>
      <c r="B88" s="49" t="s">
        <v>413</v>
      </c>
      <c r="C88" s="50" t="s">
        <v>414</v>
      </c>
      <c r="D88" s="48" t="s">
        <v>27</v>
      </c>
      <c r="E88" s="51" t="str">
        <f t="shared" si="12"/>
        <v/>
      </c>
      <c r="F88" s="51" t="str">
        <f t="shared" si="13"/>
        <v/>
      </c>
      <c r="G88" s="74" t="s">
        <v>162</v>
      </c>
      <c r="H88" s="71"/>
      <c r="I88" s="42" t="s">
        <v>51</v>
      </c>
    </row>
    <row r="89" spans="1:9" ht="19.5" customHeight="1">
      <c r="A89" s="48" t="s">
        <v>415</v>
      </c>
      <c r="B89" s="49" t="s">
        <v>416</v>
      </c>
      <c r="C89" s="50" t="s">
        <v>417</v>
      </c>
      <c r="D89" s="48" t="s">
        <v>27</v>
      </c>
      <c r="E89" s="51" t="str">
        <f t="shared" si="12"/>
        <v>✅</v>
      </c>
      <c r="F89" s="51" t="str">
        <f t="shared" si="13"/>
        <v/>
      </c>
      <c r="G89" s="52" t="s">
        <v>42</v>
      </c>
      <c r="H89" s="71"/>
      <c r="I89" s="42" t="s">
        <v>51</v>
      </c>
    </row>
    <row r="90" spans="1:9" ht="19.5" customHeight="1">
      <c r="A90" s="48" t="s">
        <v>418</v>
      </c>
      <c r="B90" s="49" t="s">
        <v>419</v>
      </c>
      <c r="C90" s="50" t="s">
        <v>420</v>
      </c>
      <c r="D90" s="48" t="s">
        <v>27</v>
      </c>
      <c r="E90" s="51" t="str">
        <f t="shared" si="12"/>
        <v/>
      </c>
      <c r="F90" s="51" t="str">
        <f t="shared" si="13"/>
        <v/>
      </c>
      <c r="G90" s="74" t="s">
        <v>162</v>
      </c>
      <c r="H90" s="71"/>
      <c r="I90" s="42"/>
    </row>
    <row r="91" spans="1:9" ht="19.5" customHeight="1">
      <c r="A91" s="48" t="s">
        <v>421</v>
      </c>
      <c r="B91" s="49" t="s">
        <v>422</v>
      </c>
      <c r="C91" s="50" t="s">
        <v>423</v>
      </c>
      <c r="D91" s="48" t="s">
        <v>27</v>
      </c>
      <c r="E91" s="51" t="str">
        <f t="shared" si="12"/>
        <v>✅</v>
      </c>
      <c r="F91" s="51" t="str">
        <f t="shared" si="13"/>
        <v/>
      </c>
      <c r="G91" s="52" t="s">
        <v>42</v>
      </c>
      <c r="H91" s="71"/>
      <c r="I91" s="42" t="s">
        <v>51</v>
      </c>
    </row>
    <row r="92" spans="1:9" ht="21.75" customHeight="1">
      <c r="A92" s="128" t="s">
        <v>424</v>
      </c>
      <c r="B92" s="109"/>
      <c r="C92" s="109"/>
      <c r="D92" s="109"/>
      <c r="E92" s="109"/>
      <c r="F92" s="109"/>
      <c r="G92" s="109"/>
      <c r="H92" s="109"/>
      <c r="I92" s="110"/>
    </row>
    <row r="93" spans="1:9" ht="19.5" customHeight="1">
      <c r="A93" s="43" t="s">
        <v>425</v>
      </c>
      <c r="B93" s="44" t="s">
        <v>426</v>
      </c>
      <c r="C93" s="45" t="s">
        <v>427</v>
      </c>
      <c r="D93" s="43" t="s">
        <v>24</v>
      </c>
      <c r="E93" s="46" t="str">
        <f t="shared" ref="E93:E98" si="14">IF(G93="Pass","✅","")</f>
        <v>✅</v>
      </c>
      <c r="F93" s="46" t="str">
        <f t="shared" ref="F93:F98" si="15">IF(G93="Fail","❌","")</f>
        <v/>
      </c>
      <c r="G93" s="47" t="s">
        <v>42</v>
      </c>
      <c r="H93" s="69"/>
      <c r="I93" s="42" t="s">
        <v>51</v>
      </c>
    </row>
    <row r="94" spans="1:9" ht="19.5" customHeight="1">
      <c r="A94" s="48" t="s">
        <v>428</v>
      </c>
      <c r="B94" s="49" t="s">
        <v>429</v>
      </c>
      <c r="C94" s="50" t="s">
        <v>427</v>
      </c>
      <c r="D94" s="48" t="s">
        <v>27</v>
      </c>
      <c r="E94" s="51" t="str">
        <f t="shared" si="14"/>
        <v/>
      </c>
      <c r="F94" s="51" t="str">
        <f t="shared" si="15"/>
        <v>❌</v>
      </c>
      <c r="G94" s="52" t="s">
        <v>43</v>
      </c>
      <c r="H94" s="71"/>
      <c r="I94" s="42" t="s">
        <v>51</v>
      </c>
    </row>
    <row r="95" spans="1:9" ht="19.5" customHeight="1">
      <c r="A95" s="37" t="s">
        <v>430</v>
      </c>
      <c r="B95" s="38" t="s">
        <v>431</v>
      </c>
      <c r="C95" s="39" t="s">
        <v>427</v>
      </c>
      <c r="D95" s="37" t="s">
        <v>30</v>
      </c>
      <c r="E95" s="40" t="str">
        <f t="shared" si="14"/>
        <v/>
      </c>
      <c r="F95" s="40" t="str">
        <f t="shared" si="15"/>
        <v>❌</v>
      </c>
      <c r="G95" s="41" t="s">
        <v>43</v>
      </c>
      <c r="H95" s="77"/>
      <c r="I95" s="42" t="s">
        <v>51</v>
      </c>
    </row>
    <row r="96" spans="1:9" ht="19.5" customHeight="1">
      <c r="A96" s="48" t="s">
        <v>432</v>
      </c>
      <c r="B96" s="49" t="s">
        <v>433</v>
      </c>
      <c r="C96" s="50" t="s">
        <v>434</v>
      </c>
      <c r="D96" s="48" t="s">
        <v>27</v>
      </c>
      <c r="E96" s="51" t="str">
        <f t="shared" si="14"/>
        <v/>
      </c>
      <c r="F96" s="51" t="str">
        <f t="shared" si="15"/>
        <v>❌</v>
      </c>
      <c r="G96" s="52" t="s">
        <v>43</v>
      </c>
      <c r="H96" s="71"/>
      <c r="I96" s="42" t="s">
        <v>51</v>
      </c>
    </row>
    <row r="97" spans="1:9" ht="19.5" customHeight="1">
      <c r="A97" s="48" t="s">
        <v>435</v>
      </c>
      <c r="B97" s="49" t="s">
        <v>436</v>
      </c>
      <c r="C97" s="50" t="s">
        <v>427</v>
      </c>
      <c r="D97" s="48" t="s">
        <v>27</v>
      </c>
      <c r="E97" s="51" t="str">
        <f t="shared" si="14"/>
        <v/>
      </c>
      <c r="F97" s="51" t="str">
        <f t="shared" si="15"/>
        <v>❌</v>
      </c>
      <c r="G97" s="52" t="s">
        <v>43</v>
      </c>
      <c r="H97" s="71"/>
      <c r="I97" s="42" t="s">
        <v>51</v>
      </c>
    </row>
    <row r="98" spans="1:9" ht="19.5" customHeight="1">
      <c r="A98" s="48" t="s">
        <v>437</v>
      </c>
      <c r="B98" s="49" t="s">
        <v>438</v>
      </c>
      <c r="C98" s="50" t="s">
        <v>186</v>
      </c>
      <c r="D98" s="48" t="s">
        <v>27</v>
      </c>
      <c r="E98" s="51" t="str">
        <f t="shared" si="14"/>
        <v/>
      </c>
      <c r="F98" s="51" t="str">
        <f t="shared" si="15"/>
        <v>❌</v>
      </c>
      <c r="G98" s="52" t="s">
        <v>43</v>
      </c>
      <c r="H98" s="71"/>
      <c r="I98" s="42" t="s">
        <v>51</v>
      </c>
    </row>
    <row r="99" spans="1:9" ht="21.75" customHeight="1">
      <c r="A99" s="128" t="s">
        <v>439</v>
      </c>
      <c r="B99" s="109"/>
      <c r="C99" s="109"/>
      <c r="D99" s="109"/>
      <c r="E99" s="109"/>
      <c r="F99" s="109"/>
      <c r="G99" s="109"/>
      <c r="H99" s="109"/>
      <c r="I99" s="110"/>
    </row>
    <row r="100" spans="1:9" ht="19.5" customHeight="1">
      <c r="A100" s="48" t="s">
        <v>440</v>
      </c>
      <c r="B100" s="49" t="s">
        <v>441</v>
      </c>
      <c r="C100" s="50" t="s">
        <v>212</v>
      </c>
      <c r="D100" s="48" t="s">
        <v>27</v>
      </c>
      <c r="E100" s="51" t="str">
        <f t="shared" ref="E100:E106" si="16">IF(G100="Pass","✅","")</f>
        <v>✅</v>
      </c>
      <c r="F100" s="51" t="str">
        <f t="shared" ref="F100:F106" si="17">IF(G100="Fail","❌","")</f>
        <v/>
      </c>
      <c r="G100" s="52" t="s">
        <v>42</v>
      </c>
      <c r="H100" s="71"/>
      <c r="I100" s="42" t="s">
        <v>51</v>
      </c>
    </row>
    <row r="101" spans="1:9" ht="19.5" customHeight="1">
      <c r="A101" s="48" t="s">
        <v>442</v>
      </c>
      <c r="B101" s="49" t="s">
        <v>443</v>
      </c>
      <c r="C101" s="50" t="s">
        <v>212</v>
      </c>
      <c r="D101" s="48" t="s">
        <v>27</v>
      </c>
      <c r="E101" s="51" t="str">
        <f t="shared" si="16"/>
        <v>✅</v>
      </c>
      <c r="F101" s="51" t="str">
        <f t="shared" si="17"/>
        <v/>
      </c>
      <c r="G101" s="52" t="s">
        <v>42</v>
      </c>
      <c r="H101" s="71"/>
      <c r="I101" s="42" t="s">
        <v>51</v>
      </c>
    </row>
    <row r="102" spans="1:9" ht="19.5" customHeight="1">
      <c r="A102" s="48" t="s">
        <v>444</v>
      </c>
      <c r="B102" s="49" t="s">
        <v>445</v>
      </c>
      <c r="C102" s="50" t="s">
        <v>54</v>
      </c>
      <c r="D102" s="48" t="s">
        <v>27</v>
      </c>
      <c r="E102" s="51" t="str">
        <f t="shared" si="16"/>
        <v>✅</v>
      </c>
      <c r="F102" s="51" t="str">
        <f t="shared" si="17"/>
        <v/>
      </c>
      <c r="G102" s="52" t="s">
        <v>42</v>
      </c>
      <c r="H102" s="71"/>
      <c r="I102" s="42" t="s">
        <v>51</v>
      </c>
    </row>
    <row r="103" spans="1:9" ht="19.5" customHeight="1">
      <c r="A103" s="43" t="s">
        <v>446</v>
      </c>
      <c r="B103" s="44" t="s">
        <v>447</v>
      </c>
      <c r="C103" s="45" t="s">
        <v>448</v>
      </c>
      <c r="D103" s="43" t="s">
        <v>24</v>
      </c>
      <c r="E103" s="46" t="str">
        <f t="shared" si="16"/>
        <v>✅</v>
      </c>
      <c r="F103" s="46" t="str">
        <f t="shared" si="17"/>
        <v/>
      </c>
      <c r="G103" s="47" t="s">
        <v>42</v>
      </c>
      <c r="H103" s="69"/>
      <c r="I103" s="42" t="s">
        <v>51</v>
      </c>
    </row>
    <row r="104" spans="1:9" ht="19.5" customHeight="1">
      <c r="A104" s="43" t="s">
        <v>449</v>
      </c>
      <c r="B104" s="44" t="s">
        <v>450</v>
      </c>
      <c r="C104" s="45" t="s">
        <v>451</v>
      </c>
      <c r="D104" s="43" t="s">
        <v>24</v>
      </c>
      <c r="E104" s="46" t="str">
        <f t="shared" si="16"/>
        <v>✅</v>
      </c>
      <c r="F104" s="46" t="str">
        <f t="shared" si="17"/>
        <v/>
      </c>
      <c r="G104" s="47" t="s">
        <v>42</v>
      </c>
      <c r="H104" s="69"/>
      <c r="I104" s="42" t="s">
        <v>51</v>
      </c>
    </row>
    <row r="105" spans="1:9" ht="19.5" customHeight="1">
      <c r="A105" s="48" t="s">
        <v>452</v>
      </c>
      <c r="B105" s="49" t="s">
        <v>453</v>
      </c>
      <c r="C105" s="50" t="s">
        <v>253</v>
      </c>
      <c r="D105" s="48" t="s">
        <v>27</v>
      </c>
      <c r="E105" s="51" t="str">
        <f t="shared" si="16"/>
        <v>✅</v>
      </c>
      <c r="F105" s="51" t="str">
        <f t="shared" si="17"/>
        <v/>
      </c>
      <c r="G105" s="52" t="s">
        <v>42</v>
      </c>
      <c r="H105" s="71"/>
      <c r="I105" s="42" t="s">
        <v>51</v>
      </c>
    </row>
    <row r="106" spans="1:9" ht="19.5" customHeight="1">
      <c r="A106" s="43" t="s">
        <v>454</v>
      </c>
      <c r="B106" s="44" t="s">
        <v>455</v>
      </c>
      <c r="C106" s="45" t="s">
        <v>456</v>
      </c>
      <c r="D106" s="43" t="s">
        <v>24</v>
      </c>
      <c r="E106" s="46" t="str">
        <f t="shared" si="16"/>
        <v/>
      </c>
      <c r="F106" s="46" t="str">
        <f t="shared" si="17"/>
        <v/>
      </c>
      <c r="G106" s="78" t="s">
        <v>162</v>
      </c>
      <c r="H106" s="69"/>
      <c r="I106" s="42"/>
    </row>
    <row r="107" spans="1:9" ht="15.75" customHeight="1">
      <c r="G107" s="60"/>
      <c r="H107" s="67"/>
    </row>
    <row r="108" spans="1:9" ht="21.75" customHeight="1">
      <c r="A108" s="129" t="s">
        <v>191</v>
      </c>
      <c r="B108" s="110"/>
      <c r="C108" s="61" t="s">
        <v>192</v>
      </c>
      <c r="D108" s="61" t="s">
        <v>193</v>
      </c>
      <c r="E108" s="61" t="s">
        <v>194</v>
      </c>
      <c r="F108" s="61" t="s">
        <v>162</v>
      </c>
      <c r="G108" s="61" t="s">
        <v>7</v>
      </c>
      <c r="H108" s="67"/>
    </row>
    <row r="109" spans="1:9" ht="21.75" customHeight="1">
      <c r="C109" s="62">
        <f>COUNTA(G5:G106)</f>
        <v>93</v>
      </c>
      <c r="D109" s="63">
        <f>COUNTIF(G5:G106,"Pass")</f>
        <v>61</v>
      </c>
      <c r="E109" s="64">
        <f>COUNTIF(G5:G106,"Fail")</f>
        <v>25</v>
      </c>
      <c r="F109" s="65">
        <f>COUNTIF(G5:G106,"Not Run")</f>
        <v>7</v>
      </c>
      <c r="G109" s="66">
        <f>IFERROR(COUNTIF(G5:G106,"Pass")/COUNTA(G5:G106),0)</f>
        <v>0.65591397849462363</v>
      </c>
      <c r="H109" s="67"/>
    </row>
    <row r="110" spans="1:9" ht="15.75" customHeight="1">
      <c r="H110" s="67"/>
    </row>
    <row r="111" spans="1:9" ht="15.75" customHeight="1">
      <c r="H111" s="67"/>
    </row>
    <row r="112" spans="1:9" ht="15.75" customHeight="1">
      <c r="H112" s="67"/>
    </row>
    <row r="113" spans="8:8" ht="15.75" customHeight="1">
      <c r="H113" s="67"/>
    </row>
    <row r="114" spans="8:8" ht="15.75" customHeight="1">
      <c r="H114" s="67"/>
    </row>
    <row r="115" spans="8:8" ht="15.75" customHeight="1">
      <c r="H115" s="67"/>
    </row>
    <row r="116" spans="8:8" ht="15.75" customHeight="1">
      <c r="H116" s="67"/>
    </row>
    <row r="117" spans="8:8" ht="15.75" customHeight="1">
      <c r="H117" s="67"/>
    </row>
    <row r="118" spans="8:8" ht="15.75" customHeight="1">
      <c r="H118" s="67"/>
    </row>
    <row r="119" spans="8:8" ht="15.75" customHeight="1">
      <c r="H119" s="67"/>
    </row>
    <row r="120" spans="8:8" ht="15.75" customHeight="1">
      <c r="H120" s="67"/>
    </row>
    <row r="121" spans="8:8" ht="15.75" customHeight="1">
      <c r="H121" s="67"/>
    </row>
    <row r="122" spans="8:8" ht="15.75" customHeight="1">
      <c r="H122" s="67"/>
    </row>
    <row r="123" spans="8:8" ht="15.75" customHeight="1">
      <c r="H123" s="67"/>
    </row>
    <row r="124" spans="8:8" ht="15.75" customHeight="1">
      <c r="H124" s="67"/>
    </row>
    <row r="125" spans="8:8" ht="15.75" customHeight="1">
      <c r="H125" s="67"/>
    </row>
    <row r="126" spans="8:8" ht="15.75" customHeight="1">
      <c r="H126" s="67"/>
    </row>
    <row r="127" spans="8:8" ht="15.75" customHeight="1">
      <c r="H127" s="67"/>
    </row>
    <row r="128" spans="8:8" ht="15.75" customHeight="1">
      <c r="H128" s="67"/>
    </row>
    <row r="129" spans="8:8" ht="15.75" customHeight="1">
      <c r="H129" s="67"/>
    </row>
    <row r="130" spans="8:8" ht="15.75" customHeight="1">
      <c r="H130" s="67"/>
    </row>
    <row r="131" spans="8:8" ht="15.75" customHeight="1">
      <c r="H131" s="67"/>
    </row>
    <row r="132" spans="8:8" ht="15.75" customHeight="1">
      <c r="H132" s="67"/>
    </row>
    <row r="133" spans="8:8" ht="15.75" customHeight="1">
      <c r="H133" s="67"/>
    </row>
    <row r="134" spans="8:8" ht="15.75" customHeight="1">
      <c r="H134" s="67"/>
    </row>
    <row r="135" spans="8:8" ht="15.75" customHeight="1">
      <c r="H135" s="67"/>
    </row>
    <row r="136" spans="8:8" ht="15.75" customHeight="1">
      <c r="H136" s="67"/>
    </row>
    <row r="137" spans="8:8" ht="15.75" customHeight="1">
      <c r="H137" s="67"/>
    </row>
    <row r="138" spans="8:8" ht="15.75" customHeight="1">
      <c r="H138" s="67"/>
    </row>
    <row r="139" spans="8:8" ht="15.75" customHeight="1">
      <c r="H139" s="67"/>
    </row>
    <row r="140" spans="8:8" ht="15.75" customHeight="1">
      <c r="H140" s="67"/>
    </row>
    <row r="141" spans="8:8" ht="15.75" customHeight="1">
      <c r="H141" s="67"/>
    </row>
    <row r="142" spans="8:8" ht="15.75" customHeight="1">
      <c r="H142" s="67"/>
    </row>
    <row r="143" spans="8:8" ht="15.75" customHeight="1">
      <c r="H143" s="67"/>
    </row>
    <row r="144" spans="8:8" ht="15.75" customHeight="1">
      <c r="H144" s="67"/>
    </row>
    <row r="145" spans="8:8" ht="15.75" customHeight="1">
      <c r="H145" s="67"/>
    </row>
    <row r="146" spans="8:8" ht="15.75" customHeight="1">
      <c r="H146" s="67"/>
    </row>
    <row r="147" spans="8:8" ht="15.75" customHeight="1">
      <c r="H147" s="67"/>
    </row>
    <row r="148" spans="8:8" ht="15.75" customHeight="1">
      <c r="H148" s="67"/>
    </row>
    <row r="149" spans="8:8" ht="15.75" customHeight="1">
      <c r="H149" s="67"/>
    </row>
    <row r="150" spans="8:8" ht="15.75" customHeight="1">
      <c r="H150" s="67"/>
    </row>
    <row r="151" spans="8:8" ht="15.75" customHeight="1">
      <c r="H151" s="67"/>
    </row>
    <row r="152" spans="8:8" ht="15.75" customHeight="1">
      <c r="H152" s="67"/>
    </row>
    <row r="153" spans="8:8" ht="15.75" customHeight="1">
      <c r="H153" s="67"/>
    </row>
    <row r="154" spans="8:8" ht="15.75" customHeight="1">
      <c r="H154" s="67"/>
    </row>
    <row r="155" spans="8:8" ht="15.75" customHeight="1">
      <c r="H155" s="67"/>
    </row>
    <row r="156" spans="8:8" ht="15.75" customHeight="1">
      <c r="H156" s="67"/>
    </row>
    <row r="157" spans="8:8" ht="15.75" customHeight="1">
      <c r="H157" s="67"/>
    </row>
    <row r="158" spans="8:8" ht="15.75" customHeight="1">
      <c r="H158" s="67"/>
    </row>
    <row r="159" spans="8:8" ht="15.75" customHeight="1">
      <c r="H159" s="67"/>
    </row>
    <row r="160" spans="8:8" ht="15.75" customHeight="1">
      <c r="H160" s="67"/>
    </row>
    <row r="161" spans="8:8" ht="15.75" customHeight="1">
      <c r="H161" s="67"/>
    </row>
    <row r="162" spans="8:8" ht="15.75" customHeight="1">
      <c r="H162" s="67"/>
    </row>
    <row r="163" spans="8:8" ht="15.75" customHeight="1">
      <c r="H163" s="67"/>
    </row>
    <row r="164" spans="8:8" ht="15.75" customHeight="1">
      <c r="H164" s="67"/>
    </row>
    <row r="165" spans="8:8" ht="15.75" customHeight="1">
      <c r="H165" s="67"/>
    </row>
    <row r="166" spans="8:8" ht="15.75" customHeight="1">
      <c r="H166" s="67"/>
    </row>
    <row r="167" spans="8:8" ht="15.75" customHeight="1">
      <c r="H167" s="67"/>
    </row>
    <row r="168" spans="8:8" ht="15.75" customHeight="1">
      <c r="H168" s="67"/>
    </row>
    <row r="169" spans="8:8" ht="15.75" customHeight="1">
      <c r="H169" s="67"/>
    </row>
    <row r="170" spans="8:8" ht="15.75" customHeight="1">
      <c r="H170" s="67"/>
    </row>
    <row r="171" spans="8:8" ht="15.75" customHeight="1">
      <c r="H171" s="67"/>
    </row>
    <row r="172" spans="8:8" ht="15.75" customHeight="1">
      <c r="H172" s="67"/>
    </row>
    <row r="173" spans="8:8" ht="15.75" customHeight="1">
      <c r="H173" s="67"/>
    </row>
    <row r="174" spans="8:8" ht="15.75" customHeight="1">
      <c r="H174" s="67"/>
    </row>
    <row r="175" spans="8:8" ht="15.75" customHeight="1">
      <c r="H175" s="67"/>
    </row>
    <row r="176" spans="8:8" ht="15.75" customHeight="1">
      <c r="H176" s="67"/>
    </row>
    <row r="177" spans="8:8" ht="15.75" customHeight="1">
      <c r="H177" s="67"/>
    </row>
    <row r="178" spans="8:8" ht="15.75" customHeight="1">
      <c r="H178" s="67"/>
    </row>
    <row r="179" spans="8:8" ht="15.75" customHeight="1">
      <c r="H179" s="67"/>
    </row>
    <row r="180" spans="8:8" ht="15.75" customHeight="1">
      <c r="H180" s="67"/>
    </row>
    <row r="181" spans="8:8" ht="15.75" customHeight="1">
      <c r="H181" s="67"/>
    </row>
    <row r="182" spans="8:8" ht="15.75" customHeight="1">
      <c r="H182" s="67"/>
    </row>
    <row r="183" spans="8:8" ht="15.75" customHeight="1">
      <c r="H183" s="67"/>
    </row>
    <row r="184" spans="8:8" ht="15.75" customHeight="1">
      <c r="H184" s="67"/>
    </row>
    <row r="185" spans="8:8" ht="15.75" customHeight="1">
      <c r="H185" s="67"/>
    </row>
    <row r="186" spans="8:8" ht="15.75" customHeight="1">
      <c r="H186" s="67"/>
    </row>
    <row r="187" spans="8:8" ht="15.75" customHeight="1">
      <c r="H187" s="67"/>
    </row>
    <row r="188" spans="8:8" ht="15.75" customHeight="1">
      <c r="H188" s="67"/>
    </row>
    <row r="189" spans="8:8" ht="15.75" customHeight="1">
      <c r="H189" s="67"/>
    </row>
    <row r="190" spans="8:8" ht="15.75" customHeight="1">
      <c r="H190" s="67"/>
    </row>
    <row r="191" spans="8:8" ht="15.75" customHeight="1">
      <c r="H191" s="67"/>
    </row>
    <row r="192" spans="8:8" ht="15.75" customHeight="1">
      <c r="H192" s="67"/>
    </row>
    <row r="193" spans="8:8" ht="15.75" customHeight="1">
      <c r="H193" s="67"/>
    </row>
    <row r="194" spans="8:8" ht="15.75" customHeight="1">
      <c r="H194" s="67"/>
    </row>
    <row r="195" spans="8:8" ht="15.75" customHeight="1">
      <c r="H195" s="67"/>
    </row>
    <row r="196" spans="8:8" ht="15.75" customHeight="1">
      <c r="H196" s="67"/>
    </row>
    <row r="197" spans="8:8" ht="15.75" customHeight="1">
      <c r="H197" s="67"/>
    </row>
    <row r="198" spans="8:8" ht="15.75" customHeight="1">
      <c r="H198" s="67"/>
    </row>
    <row r="199" spans="8:8" ht="15.75" customHeight="1">
      <c r="H199" s="67"/>
    </row>
    <row r="200" spans="8:8" ht="15.75" customHeight="1">
      <c r="H200" s="67"/>
    </row>
    <row r="201" spans="8:8" ht="15.75" customHeight="1">
      <c r="H201" s="67"/>
    </row>
    <row r="202" spans="8:8" ht="15.75" customHeight="1">
      <c r="H202" s="67"/>
    </row>
    <row r="203" spans="8:8" ht="15.75" customHeight="1">
      <c r="H203" s="67"/>
    </row>
    <row r="204" spans="8:8" ht="15.75" customHeight="1">
      <c r="H204" s="67"/>
    </row>
    <row r="205" spans="8:8" ht="15.75" customHeight="1">
      <c r="H205" s="67"/>
    </row>
    <row r="206" spans="8:8" ht="15.75" customHeight="1">
      <c r="H206" s="67"/>
    </row>
    <row r="207" spans="8:8" ht="15.75" customHeight="1">
      <c r="H207" s="67"/>
    </row>
    <row r="208" spans="8:8" ht="15.75" customHeight="1">
      <c r="H208" s="67"/>
    </row>
    <row r="209" spans="8:8" ht="15.75" customHeight="1">
      <c r="H209" s="67"/>
    </row>
    <row r="210" spans="8:8" ht="15.75" customHeight="1">
      <c r="H210" s="67"/>
    </row>
    <row r="211" spans="8:8" ht="15.75" customHeight="1">
      <c r="H211" s="67"/>
    </row>
    <row r="212" spans="8:8" ht="15.75" customHeight="1">
      <c r="H212" s="67"/>
    </row>
    <row r="213" spans="8:8" ht="15.75" customHeight="1">
      <c r="H213" s="67"/>
    </row>
    <row r="214" spans="8:8" ht="15.75" customHeight="1">
      <c r="H214" s="67"/>
    </row>
    <row r="215" spans="8:8" ht="15.75" customHeight="1">
      <c r="H215" s="67"/>
    </row>
    <row r="216" spans="8:8" ht="15.75" customHeight="1">
      <c r="H216" s="67"/>
    </row>
    <row r="217" spans="8:8" ht="15.75" customHeight="1">
      <c r="H217" s="67"/>
    </row>
    <row r="218" spans="8:8" ht="15.75" customHeight="1">
      <c r="H218" s="67"/>
    </row>
    <row r="219" spans="8:8" ht="15.75" customHeight="1">
      <c r="H219" s="67"/>
    </row>
    <row r="220" spans="8:8" ht="15.75" customHeight="1">
      <c r="H220" s="67"/>
    </row>
    <row r="221" spans="8:8" ht="15.75" customHeight="1">
      <c r="H221" s="67"/>
    </row>
    <row r="222" spans="8:8" ht="15.75" customHeight="1">
      <c r="H222" s="67"/>
    </row>
    <row r="223" spans="8:8" ht="15.75" customHeight="1">
      <c r="H223" s="67"/>
    </row>
    <row r="224" spans="8:8" ht="15.75" customHeight="1">
      <c r="H224" s="67"/>
    </row>
    <row r="225" spans="8:8" ht="15.75" customHeight="1">
      <c r="H225" s="67"/>
    </row>
    <row r="226" spans="8:8" ht="15.75" customHeight="1">
      <c r="H226" s="67"/>
    </row>
    <row r="227" spans="8:8" ht="15.75" customHeight="1">
      <c r="H227" s="67"/>
    </row>
    <row r="228" spans="8:8" ht="15.75" customHeight="1">
      <c r="H228" s="67"/>
    </row>
    <row r="229" spans="8:8" ht="15.75" customHeight="1">
      <c r="H229" s="67"/>
    </row>
    <row r="230" spans="8:8" ht="15.75" customHeight="1">
      <c r="H230" s="67"/>
    </row>
    <row r="231" spans="8:8" ht="15.75" customHeight="1">
      <c r="H231" s="67"/>
    </row>
    <row r="232" spans="8:8" ht="15.75" customHeight="1">
      <c r="H232" s="67"/>
    </row>
    <row r="233" spans="8:8" ht="15.75" customHeight="1">
      <c r="H233" s="67"/>
    </row>
    <row r="234" spans="8:8" ht="15.75" customHeight="1">
      <c r="H234" s="67"/>
    </row>
    <row r="235" spans="8:8" ht="15.75" customHeight="1">
      <c r="H235" s="67"/>
    </row>
    <row r="236" spans="8:8" ht="15.75" customHeight="1">
      <c r="H236" s="67"/>
    </row>
    <row r="237" spans="8:8" ht="15.75" customHeight="1">
      <c r="H237" s="67"/>
    </row>
    <row r="238" spans="8:8" ht="15.75" customHeight="1">
      <c r="H238" s="67"/>
    </row>
    <row r="239" spans="8:8" ht="15.75" customHeight="1">
      <c r="H239" s="67"/>
    </row>
    <row r="240" spans="8:8" ht="15.75" customHeight="1">
      <c r="H240" s="67"/>
    </row>
    <row r="241" spans="8:8" ht="15.75" customHeight="1">
      <c r="H241" s="67"/>
    </row>
    <row r="242" spans="8:8" ht="15.75" customHeight="1">
      <c r="H242" s="67"/>
    </row>
    <row r="243" spans="8:8" ht="15.75" customHeight="1">
      <c r="H243" s="67"/>
    </row>
    <row r="244" spans="8:8" ht="15.75" customHeight="1">
      <c r="H244" s="67"/>
    </row>
    <row r="245" spans="8:8" ht="15.75" customHeight="1">
      <c r="H245" s="67"/>
    </row>
    <row r="246" spans="8:8" ht="15.75" customHeight="1">
      <c r="H246" s="67"/>
    </row>
    <row r="247" spans="8:8" ht="15.75" customHeight="1">
      <c r="H247" s="67"/>
    </row>
    <row r="248" spans="8:8" ht="15.75" customHeight="1">
      <c r="H248" s="67"/>
    </row>
    <row r="249" spans="8:8" ht="15.75" customHeight="1">
      <c r="H249" s="67"/>
    </row>
    <row r="250" spans="8:8" ht="15.75" customHeight="1">
      <c r="H250" s="67"/>
    </row>
    <row r="251" spans="8:8" ht="15.75" customHeight="1">
      <c r="H251" s="67"/>
    </row>
    <row r="252" spans="8:8" ht="15.75" customHeight="1">
      <c r="H252" s="67"/>
    </row>
    <row r="253" spans="8:8" ht="15.75" customHeight="1">
      <c r="H253" s="67"/>
    </row>
    <row r="254" spans="8:8" ht="15.75" customHeight="1">
      <c r="H254" s="67"/>
    </row>
    <row r="255" spans="8:8" ht="15.75" customHeight="1">
      <c r="H255" s="67"/>
    </row>
    <row r="256" spans="8:8" ht="15.75" customHeight="1">
      <c r="H256" s="67"/>
    </row>
    <row r="257" spans="8:8" ht="15.75" customHeight="1">
      <c r="H257" s="67"/>
    </row>
    <row r="258" spans="8:8" ht="15.75" customHeight="1">
      <c r="H258" s="67"/>
    </row>
    <row r="259" spans="8:8" ht="15.75" customHeight="1">
      <c r="H259" s="67"/>
    </row>
    <row r="260" spans="8:8" ht="15.75" customHeight="1">
      <c r="H260" s="67"/>
    </row>
    <row r="261" spans="8:8" ht="15.75" customHeight="1">
      <c r="H261" s="67"/>
    </row>
    <row r="262" spans="8:8" ht="15.75" customHeight="1">
      <c r="H262" s="67"/>
    </row>
    <row r="263" spans="8:8" ht="15.75" customHeight="1">
      <c r="H263" s="67"/>
    </row>
    <row r="264" spans="8:8" ht="15.75" customHeight="1">
      <c r="H264" s="67"/>
    </row>
    <row r="265" spans="8:8" ht="15.75" customHeight="1">
      <c r="H265" s="67"/>
    </row>
    <row r="266" spans="8:8" ht="15.75" customHeight="1">
      <c r="H266" s="67"/>
    </row>
    <row r="267" spans="8:8" ht="15.75" customHeight="1">
      <c r="H267" s="67"/>
    </row>
    <row r="268" spans="8:8" ht="15.75" customHeight="1">
      <c r="H268" s="67"/>
    </row>
    <row r="269" spans="8:8" ht="15.75" customHeight="1">
      <c r="H269" s="67"/>
    </row>
    <row r="270" spans="8:8" ht="15.75" customHeight="1">
      <c r="H270" s="67"/>
    </row>
    <row r="271" spans="8:8" ht="15.75" customHeight="1">
      <c r="H271" s="67"/>
    </row>
    <row r="272" spans="8:8" ht="15.75" customHeight="1">
      <c r="H272" s="67"/>
    </row>
    <row r="273" spans="8:8" ht="15.75" customHeight="1">
      <c r="H273" s="67"/>
    </row>
    <row r="274" spans="8:8" ht="15.75" customHeight="1">
      <c r="H274" s="67"/>
    </row>
    <row r="275" spans="8:8" ht="15.75" customHeight="1">
      <c r="H275" s="67"/>
    </row>
    <row r="276" spans="8:8" ht="15.75" customHeight="1">
      <c r="H276" s="67"/>
    </row>
    <row r="277" spans="8:8" ht="15.75" customHeight="1">
      <c r="H277" s="67"/>
    </row>
    <row r="278" spans="8:8" ht="15.75" customHeight="1">
      <c r="H278" s="67"/>
    </row>
    <row r="279" spans="8:8" ht="15.75" customHeight="1">
      <c r="H279" s="67"/>
    </row>
    <row r="280" spans="8:8" ht="15.75" customHeight="1">
      <c r="H280" s="67"/>
    </row>
    <row r="281" spans="8:8" ht="15.75" customHeight="1">
      <c r="H281" s="67"/>
    </row>
    <row r="282" spans="8:8" ht="15.75" customHeight="1">
      <c r="H282" s="67"/>
    </row>
    <row r="283" spans="8:8" ht="15.75" customHeight="1">
      <c r="H283" s="67"/>
    </row>
    <row r="284" spans="8:8" ht="15.75" customHeight="1">
      <c r="H284" s="67"/>
    </row>
    <row r="285" spans="8:8" ht="15.75" customHeight="1">
      <c r="H285" s="67"/>
    </row>
    <row r="286" spans="8:8" ht="15.75" customHeight="1">
      <c r="H286" s="67"/>
    </row>
    <row r="287" spans="8:8" ht="15.75" customHeight="1">
      <c r="H287" s="67"/>
    </row>
    <row r="288" spans="8:8" ht="15.75" customHeight="1">
      <c r="H288" s="67"/>
    </row>
    <row r="289" spans="8:8" ht="15.75" customHeight="1">
      <c r="H289" s="67"/>
    </row>
    <row r="290" spans="8:8" ht="15.75" customHeight="1">
      <c r="H290" s="67"/>
    </row>
    <row r="291" spans="8:8" ht="15.75" customHeight="1">
      <c r="H291" s="67"/>
    </row>
    <row r="292" spans="8:8" ht="15.75" customHeight="1">
      <c r="H292" s="67"/>
    </row>
    <row r="293" spans="8:8" ht="15.75" customHeight="1">
      <c r="H293" s="67"/>
    </row>
    <row r="294" spans="8:8" ht="15.75" customHeight="1">
      <c r="H294" s="67"/>
    </row>
    <row r="295" spans="8:8" ht="15.75" customHeight="1">
      <c r="H295" s="67"/>
    </row>
    <row r="296" spans="8:8" ht="15.75" customHeight="1">
      <c r="H296" s="67"/>
    </row>
    <row r="297" spans="8:8" ht="15.75" customHeight="1">
      <c r="H297" s="67"/>
    </row>
    <row r="298" spans="8:8" ht="15.75" customHeight="1">
      <c r="H298" s="67"/>
    </row>
    <row r="299" spans="8:8" ht="15.75" customHeight="1">
      <c r="H299" s="67"/>
    </row>
    <row r="300" spans="8:8" ht="15.75" customHeight="1">
      <c r="H300" s="67"/>
    </row>
    <row r="301" spans="8:8" ht="15.75" customHeight="1">
      <c r="H301" s="67"/>
    </row>
    <row r="302" spans="8:8" ht="15.75" customHeight="1">
      <c r="H302" s="67"/>
    </row>
    <row r="303" spans="8:8" ht="15.75" customHeight="1">
      <c r="H303" s="67"/>
    </row>
    <row r="304" spans="8:8" ht="15.75" customHeight="1">
      <c r="H304" s="67"/>
    </row>
    <row r="305" spans="8:8" ht="15.75" customHeight="1">
      <c r="H305" s="67"/>
    </row>
    <row r="306" spans="8:8" ht="15.75" customHeight="1">
      <c r="H306" s="67"/>
    </row>
    <row r="307" spans="8:8" ht="15.75" customHeight="1">
      <c r="H307" s="67"/>
    </row>
    <row r="308" spans="8:8" ht="15.75" customHeight="1">
      <c r="H308" s="67"/>
    </row>
    <row r="309" spans="8:8" ht="15.75" customHeight="1">
      <c r="H309" s="67"/>
    </row>
    <row r="310" spans="8:8" ht="15.75" customHeight="1">
      <c r="H310" s="67"/>
    </row>
    <row r="311" spans="8:8" ht="15.75" customHeight="1">
      <c r="H311" s="67"/>
    </row>
    <row r="312" spans="8:8" ht="15.75" customHeight="1">
      <c r="H312" s="67"/>
    </row>
    <row r="313" spans="8:8" ht="15.75" customHeight="1">
      <c r="H313" s="67"/>
    </row>
    <row r="314" spans="8:8" ht="15.75" customHeight="1">
      <c r="H314" s="67"/>
    </row>
    <row r="315" spans="8:8" ht="15.75" customHeight="1">
      <c r="H315" s="67"/>
    </row>
    <row r="316" spans="8:8" ht="15.75" customHeight="1">
      <c r="H316" s="67"/>
    </row>
    <row r="317" spans="8:8" ht="15.75" customHeight="1">
      <c r="H317" s="67"/>
    </row>
    <row r="318" spans="8:8" ht="15.75" customHeight="1">
      <c r="H318" s="67"/>
    </row>
    <row r="319" spans="8:8" ht="15.75" customHeight="1">
      <c r="H319" s="67"/>
    </row>
    <row r="320" spans="8:8" ht="15.75" customHeight="1">
      <c r="H320" s="67"/>
    </row>
    <row r="321" spans="8:8" ht="15.75" customHeight="1">
      <c r="H321" s="67"/>
    </row>
    <row r="322" spans="8:8" ht="15.75" customHeight="1">
      <c r="H322" s="67"/>
    </row>
    <row r="323" spans="8:8" ht="15.75" customHeight="1">
      <c r="H323" s="67"/>
    </row>
    <row r="324" spans="8:8" ht="15.75" customHeight="1">
      <c r="H324" s="67"/>
    </row>
    <row r="325" spans="8:8" ht="15.75" customHeight="1">
      <c r="H325" s="67"/>
    </row>
    <row r="326" spans="8:8" ht="15.75" customHeight="1">
      <c r="H326" s="67"/>
    </row>
    <row r="327" spans="8:8" ht="15.75" customHeight="1">
      <c r="H327" s="67"/>
    </row>
    <row r="328" spans="8:8" ht="15.75" customHeight="1">
      <c r="H328" s="67"/>
    </row>
    <row r="329" spans="8:8" ht="15.75" customHeight="1">
      <c r="H329" s="67"/>
    </row>
    <row r="330" spans="8:8" ht="15.75" customHeight="1">
      <c r="H330" s="67"/>
    </row>
    <row r="331" spans="8:8" ht="15.75" customHeight="1">
      <c r="H331" s="67"/>
    </row>
    <row r="332" spans="8:8" ht="15.75" customHeight="1">
      <c r="H332" s="67"/>
    </row>
    <row r="333" spans="8:8" ht="15.75" customHeight="1">
      <c r="H333" s="67"/>
    </row>
    <row r="334" spans="8:8" ht="15.75" customHeight="1">
      <c r="H334" s="67"/>
    </row>
    <row r="335" spans="8:8" ht="15.75" customHeight="1">
      <c r="H335" s="67"/>
    </row>
    <row r="336" spans="8:8" ht="15.75" customHeight="1">
      <c r="H336" s="67"/>
    </row>
    <row r="337" spans="8:8" ht="15.75" customHeight="1">
      <c r="H337" s="67"/>
    </row>
    <row r="338" spans="8:8" ht="15.75" customHeight="1">
      <c r="H338" s="67"/>
    </row>
    <row r="339" spans="8:8" ht="15.75" customHeight="1">
      <c r="H339" s="67"/>
    </row>
    <row r="340" spans="8:8" ht="15.75" customHeight="1">
      <c r="H340" s="67"/>
    </row>
    <row r="341" spans="8:8" ht="15.75" customHeight="1">
      <c r="H341" s="67"/>
    </row>
    <row r="342" spans="8:8" ht="15.75" customHeight="1">
      <c r="H342" s="67"/>
    </row>
    <row r="343" spans="8:8" ht="15.75" customHeight="1">
      <c r="H343" s="67"/>
    </row>
    <row r="344" spans="8:8" ht="15.75" customHeight="1">
      <c r="H344" s="67"/>
    </row>
    <row r="345" spans="8:8" ht="15.75" customHeight="1">
      <c r="H345" s="67"/>
    </row>
    <row r="346" spans="8:8" ht="15.75" customHeight="1">
      <c r="H346" s="67"/>
    </row>
    <row r="347" spans="8:8" ht="15.75" customHeight="1">
      <c r="H347" s="67"/>
    </row>
    <row r="348" spans="8:8" ht="15.75" customHeight="1">
      <c r="H348" s="67"/>
    </row>
    <row r="349" spans="8:8" ht="15.75" customHeight="1">
      <c r="H349" s="67"/>
    </row>
    <row r="350" spans="8:8" ht="15.75" customHeight="1">
      <c r="H350" s="67"/>
    </row>
    <row r="351" spans="8:8" ht="15.75" customHeight="1">
      <c r="H351" s="67"/>
    </row>
    <row r="352" spans="8:8" ht="15.75" customHeight="1">
      <c r="H352" s="67"/>
    </row>
    <row r="353" spans="8:8" ht="15.75" customHeight="1">
      <c r="H353" s="67"/>
    </row>
    <row r="354" spans="8:8" ht="15.75" customHeight="1">
      <c r="H354" s="67"/>
    </row>
    <row r="355" spans="8:8" ht="15.75" customHeight="1">
      <c r="H355" s="67"/>
    </row>
    <row r="356" spans="8:8" ht="15.75" customHeight="1">
      <c r="H356" s="67"/>
    </row>
    <row r="357" spans="8:8" ht="15.75" customHeight="1">
      <c r="H357" s="67"/>
    </row>
    <row r="358" spans="8:8" ht="15.75" customHeight="1">
      <c r="H358" s="67"/>
    </row>
    <row r="359" spans="8:8" ht="15.75" customHeight="1">
      <c r="H359" s="67"/>
    </row>
    <row r="360" spans="8:8" ht="15.75" customHeight="1">
      <c r="H360" s="67"/>
    </row>
    <row r="361" spans="8:8" ht="15.75" customHeight="1">
      <c r="H361" s="67"/>
    </row>
    <row r="362" spans="8:8" ht="15.75" customHeight="1">
      <c r="H362" s="67"/>
    </row>
    <row r="363" spans="8:8" ht="15.75" customHeight="1">
      <c r="H363" s="67"/>
    </row>
    <row r="364" spans="8:8" ht="15.75" customHeight="1">
      <c r="H364" s="67"/>
    </row>
    <row r="365" spans="8:8" ht="15.75" customHeight="1">
      <c r="H365" s="67"/>
    </row>
    <row r="366" spans="8:8" ht="15.75" customHeight="1">
      <c r="H366" s="67"/>
    </row>
    <row r="367" spans="8:8" ht="15.75" customHeight="1">
      <c r="H367" s="67"/>
    </row>
    <row r="368" spans="8:8" ht="15.75" customHeight="1">
      <c r="H368" s="67"/>
    </row>
    <row r="369" spans="8:8" ht="15.75" customHeight="1">
      <c r="H369" s="67"/>
    </row>
    <row r="370" spans="8:8" ht="15.75" customHeight="1">
      <c r="H370" s="67"/>
    </row>
    <row r="371" spans="8:8" ht="15.75" customHeight="1">
      <c r="H371" s="67"/>
    </row>
    <row r="372" spans="8:8" ht="15.75" customHeight="1">
      <c r="H372" s="67"/>
    </row>
    <row r="373" spans="8:8" ht="15.75" customHeight="1">
      <c r="H373" s="67"/>
    </row>
    <row r="374" spans="8:8" ht="15.75" customHeight="1">
      <c r="H374" s="67"/>
    </row>
    <row r="375" spans="8:8" ht="15.75" customHeight="1">
      <c r="H375" s="67"/>
    </row>
    <row r="376" spans="8:8" ht="15.75" customHeight="1">
      <c r="H376" s="67"/>
    </row>
    <row r="377" spans="8:8" ht="15.75" customHeight="1">
      <c r="H377" s="67"/>
    </row>
    <row r="378" spans="8:8" ht="15.75" customHeight="1">
      <c r="H378" s="67"/>
    </row>
    <row r="379" spans="8:8" ht="15.75" customHeight="1">
      <c r="H379" s="67"/>
    </row>
    <row r="380" spans="8:8" ht="15.75" customHeight="1">
      <c r="H380" s="67"/>
    </row>
    <row r="381" spans="8:8" ht="15.75" customHeight="1">
      <c r="H381" s="67"/>
    </row>
    <row r="382" spans="8:8" ht="15.75" customHeight="1">
      <c r="H382" s="67"/>
    </row>
    <row r="383" spans="8:8" ht="15.75" customHeight="1">
      <c r="H383" s="67"/>
    </row>
    <row r="384" spans="8:8" ht="15.75" customHeight="1">
      <c r="H384" s="67"/>
    </row>
    <row r="385" spans="8:8" ht="15.75" customHeight="1">
      <c r="H385" s="67"/>
    </row>
    <row r="386" spans="8:8" ht="15.75" customHeight="1">
      <c r="H386" s="67"/>
    </row>
    <row r="387" spans="8:8" ht="15.75" customHeight="1">
      <c r="H387" s="67"/>
    </row>
    <row r="388" spans="8:8" ht="15.75" customHeight="1">
      <c r="H388" s="67"/>
    </row>
    <row r="389" spans="8:8" ht="15.75" customHeight="1">
      <c r="H389" s="67"/>
    </row>
    <row r="390" spans="8:8" ht="15.75" customHeight="1">
      <c r="H390" s="67"/>
    </row>
    <row r="391" spans="8:8" ht="15.75" customHeight="1">
      <c r="H391" s="67"/>
    </row>
    <row r="392" spans="8:8" ht="15.75" customHeight="1">
      <c r="H392" s="67"/>
    </row>
    <row r="393" spans="8:8" ht="15.75" customHeight="1">
      <c r="H393" s="67"/>
    </row>
    <row r="394" spans="8:8" ht="15.75" customHeight="1">
      <c r="H394" s="67"/>
    </row>
    <row r="395" spans="8:8" ht="15.75" customHeight="1">
      <c r="H395" s="67"/>
    </row>
    <row r="396" spans="8:8" ht="15.75" customHeight="1">
      <c r="H396" s="67"/>
    </row>
    <row r="397" spans="8:8" ht="15.75" customHeight="1">
      <c r="H397" s="67"/>
    </row>
    <row r="398" spans="8:8" ht="15.75" customHeight="1">
      <c r="H398" s="67"/>
    </row>
    <row r="399" spans="8:8" ht="15.75" customHeight="1">
      <c r="H399" s="67"/>
    </row>
    <row r="400" spans="8:8" ht="15.75" customHeight="1">
      <c r="H400" s="67"/>
    </row>
    <row r="401" spans="8:8" ht="15.75" customHeight="1">
      <c r="H401" s="67"/>
    </row>
    <row r="402" spans="8:8" ht="15.75" customHeight="1">
      <c r="H402" s="67"/>
    </row>
    <row r="403" spans="8:8" ht="15.75" customHeight="1">
      <c r="H403" s="67"/>
    </row>
    <row r="404" spans="8:8" ht="15.75" customHeight="1">
      <c r="H404" s="67"/>
    </row>
    <row r="405" spans="8:8" ht="15.75" customHeight="1">
      <c r="H405" s="67"/>
    </row>
    <row r="406" spans="8:8" ht="15.75" customHeight="1">
      <c r="H406" s="67"/>
    </row>
    <row r="407" spans="8:8" ht="15.75" customHeight="1">
      <c r="H407" s="67"/>
    </row>
    <row r="408" spans="8:8" ht="15.75" customHeight="1">
      <c r="H408" s="67"/>
    </row>
    <row r="409" spans="8:8" ht="15.75" customHeight="1">
      <c r="H409" s="67"/>
    </row>
    <row r="410" spans="8:8" ht="15.75" customHeight="1">
      <c r="H410" s="67"/>
    </row>
    <row r="411" spans="8:8" ht="15.75" customHeight="1">
      <c r="H411" s="67"/>
    </row>
    <row r="412" spans="8:8" ht="15.75" customHeight="1">
      <c r="H412" s="67"/>
    </row>
    <row r="413" spans="8:8" ht="15.75" customHeight="1">
      <c r="H413" s="67"/>
    </row>
    <row r="414" spans="8:8" ht="15.75" customHeight="1">
      <c r="H414" s="67"/>
    </row>
    <row r="415" spans="8:8" ht="15.75" customHeight="1">
      <c r="H415" s="67"/>
    </row>
    <row r="416" spans="8:8" ht="15.75" customHeight="1">
      <c r="H416" s="67"/>
    </row>
    <row r="417" spans="8:8" ht="15.75" customHeight="1">
      <c r="H417" s="67"/>
    </row>
    <row r="418" spans="8:8" ht="15.75" customHeight="1">
      <c r="H418" s="67"/>
    </row>
    <row r="419" spans="8:8" ht="15.75" customHeight="1">
      <c r="H419" s="67"/>
    </row>
    <row r="420" spans="8:8" ht="15.75" customHeight="1">
      <c r="H420" s="67"/>
    </row>
    <row r="421" spans="8:8" ht="15.75" customHeight="1">
      <c r="H421" s="67"/>
    </row>
    <row r="422" spans="8:8" ht="15.75" customHeight="1">
      <c r="H422" s="67"/>
    </row>
    <row r="423" spans="8:8" ht="15.75" customHeight="1">
      <c r="H423" s="67"/>
    </row>
    <row r="424" spans="8:8" ht="15.75" customHeight="1">
      <c r="H424" s="67"/>
    </row>
    <row r="425" spans="8:8" ht="15.75" customHeight="1">
      <c r="H425" s="67"/>
    </row>
    <row r="426" spans="8:8" ht="15.75" customHeight="1">
      <c r="H426" s="67"/>
    </row>
    <row r="427" spans="8:8" ht="15.75" customHeight="1">
      <c r="H427" s="67"/>
    </row>
    <row r="428" spans="8:8" ht="15.75" customHeight="1">
      <c r="H428" s="67"/>
    </row>
    <row r="429" spans="8:8" ht="15.75" customHeight="1">
      <c r="H429" s="67"/>
    </row>
    <row r="430" spans="8:8" ht="15.75" customHeight="1">
      <c r="H430" s="67"/>
    </row>
    <row r="431" spans="8:8" ht="15.75" customHeight="1">
      <c r="H431" s="67"/>
    </row>
    <row r="432" spans="8:8" ht="15.75" customHeight="1">
      <c r="H432" s="67"/>
    </row>
    <row r="433" spans="8:8" ht="15.75" customHeight="1">
      <c r="H433" s="67"/>
    </row>
    <row r="434" spans="8:8" ht="15.75" customHeight="1">
      <c r="H434" s="67"/>
    </row>
    <row r="435" spans="8:8" ht="15.75" customHeight="1">
      <c r="H435" s="67"/>
    </row>
    <row r="436" spans="8:8" ht="15.75" customHeight="1">
      <c r="H436" s="67"/>
    </row>
    <row r="437" spans="8:8" ht="15.75" customHeight="1">
      <c r="H437" s="67"/>
    </row>
    <row r="438" spans="8:8" ht="15.75" customHeight="1">
      <c r="H438" s="67"/>
    </row>
    <row r="439" spans="8:8" ht="15.75" customHeight="1">
      <c r="H439" s="67"/>
    </row>
    <row r="440" spans="8:8" ht="15.75" customHeight="1">
      <c r="H440" s="67"/>
    </row>
    <row r="441" spans="8:8" ht="15.75" customHeight="1">
      <c r="H441" s="67"/>
    </row>
    <row r="442" spans="8:8" ht="15.75" customHeight="1">
      <c r="H442" s="67"/>
    </row>
    <row r="443" spans="8:8" ht="15.75" customHeight="1">
      <c r="H443" s="67"/>
    </row>
    <row r="444" spans="8:8" ht="15.75" customHeight="1">
      <c r="H444" s="67"/>
    </row>
    <row r="445" spans="8:8" ht="15.75" customHeight="1">
      <c r="H445" s="67"/>
    </row>
    <row r="446" spans="8:8" ht="15.75" customHeight="1">
      <c r="H446" s="67"/>
    </row>
    <row r="447" spans="8:8" ht="15.75" customHeight="1">
      <c r="H447" s="67"/>
    </row>
    <row r="448" spans="8:8" ht="15.75" customHeight="1">
      <c r="H448" s="67"/>
    </row>
    <row r="449" spans="8:8" ht="15.75" customHeight="1">
      <c r="H449" s="67"/>
    </row>
    <row r="450" spans="8:8" ht="15.75" customHeight="1">
      <c r="H450" s="67"/>
    </row>
    <row r="451" spans="8:8" ht="15.75" customHeight="1">
      <c r="H451" s="67"/>
    </row>
    <row r="452" spans="8:8" ht="15.75" customHeight="1">
      <c r="H452" s="67"/>
    </row>
    <row r="453" spans="8:8" ht="15.75" customHeight="1">
      <c r="H453" s="67"/>
    </row>
    <row r="454" spans="8:8" ht="15.75" customHeight="1">
      <c r="H454" s="67"/>
    </row>
    <row r="455" spans="8:8" ht="15.75" customHeight="1">
      <c r="H455" s="67"/>
    </row>
    <row r="456" spans="8:8" ht="15.75" customHeight="1">
      <c r="H456" s="67"/>
    </row>
    <row r="457" spans="8:8" ht="15.75" customHeight="1">
      <c r="H457" s="67"/>
    </row>
    <row r="458" spans="8:8" ht="15.75" customHeight="1">
      <c r="H458" s="67"/>
    </row>
    <row r="459" spans="8:8" ht="15.75" customHeight="1">
      <c r="H459" s="67"/>
    </row>
    <row r="460" spans="8:8" ht="15.75" customHeight="1">
      <c r="H460" s="67"/>
    </row>
    <row r="461" spans="8:8" ht="15.75" customHeight="1">
      <c r="H461" s="67"/>
    </row>
    <row r="462" spans="8:8" ht="15.75" customHeight="1">
      <c r="H462" s="67"/>
    </row>
    <row r="463" spans="8:8" ht="15.75" customHeight="1">
      <c r="H463" s="67"/>
    </row>
    <row r="464" spans="8:8" ht="15.75" customHeight="1">
      <c r="H464" s="67"/>
    </row>
    <row r="465" spans="8:8" ht="15.75" customHeight="1">
      <c r="H465" s="67"/>
    </row>
    <row r="466" spans="8:8" ht="15.75" customHeight="1">
      <c r="H466" s="67"/>
    </row>
    <row r="467" spans="8:8" ht="15.75" customHeight="1">
      <c r="H467" s="67"/>
    </row>
    <row r="468" spans="8:8" ht="15.75" customHeight="1">
      <c r="H468" s="67"/>
    </row>
    <row r="469" spans="8:8" ht="15.75" customHeight="1">
      <c r="H469" s="67"/>
    </row>
    <row r="470" spans="8:8" ht="15.75" customHeight="1">
      <c r="H470" s="67"/>
    </row>
    <row r="471" spans="8:8" ht="15.75" customHeight="1">
      <c r="H471" s="67"/>
    </row>
    <row r="472" spans="8:8" ht="15.75" customHeight="1">
      <c r="H472" s="67"/>
    </row>
    <row r="473" spans="8:8" ht="15.75" customHeight="1">
      <c r="H473" s="67"/>
    </row>
    <row r="474" spans="8:8" ht="15.75" customHeight="1">
      <c r="H474" s="67"/>
    </row>
    <row r="475" spans="8:8" ht="15.75" customHeight="1">
      <c r="H475" s="67"/>
    </row>
    <row r="476" spans="8:8" ht="15.75" customHeight="1">
      <c r="H476" s="67"/>
    </row>
    <row r="477" spans="8:8" ht="15.75" customHeight="1">
      <c r="H477" s="67"/>
    </row>
    <row r="478" spans="8:8" ht="15.75" customHeight="1">
      <c r="H478" s="67"/>
    </row>
    <row r="479" spans="8:8" ht="15.75" customHeight="1">
      <c r="H479" s="67"/>
    </row>
    <row r="480" spans="8:8" ht="15.75" customHeight="1">
      <c r="H480" s="67"/>
    </row>
    <row r="481" spans="8:8" ht="15.75" customHeight="1">
      <c r="H481" s="67"/>
    </row>
    <row r="482" spans="8:8" ht="15.75" customHeight="1">
      <c r="H482" s="67"/>
    </row>
    <row r="483" spans="8:8" ht="15.75" customHeight="1">
      <c r="H483" s="67"/>
    </row>
    <row r="484" spans="8:8" ht="15.75" customHeight="1">
      <c r="H484" s="67"/>
    </row>
    <row r="485" spans="8:8" ht="15.75" customHeight="1">
      <c r="H485" s="67"/>
    </row>
    <row r="486" spans="8:8" ht="15.75" customHeight="1">
      <c r="H486" s="67"/>
    </row>
    <row r="487" spans="8:8" ht="15.75" customHeight="1">
      <c r="H487" s="67"/>
    </row>
    <row r="488" spans="8:8" ht="15.75" customHeight="1">
      <c r="H488" s="67"/>
    </row>
    <row r="489" spans="8:8" ht="15.75" customHeight="1">
      <c r="H489" s="67"/>
    </row>
    <row r="490" spans="8:8" ht="15.75" customHeight="1">
      <c r="H490" s="67"/>
    </row>
    <row r="491" spans="8:8" ht="15.75" customHeight="1">
      <c r="H491" s="67"/>
    </row>
    <row r="492" spans="8:8" ht="15.75" customHeight="1">
      <c r="H492" s="67"/>
    </row>
    <row r="493" spans="8:8" ht="15.75" customHeight="1">
      <c r="H493" s="67"/>
    </row>
    <row r="494" spans="8:8" ht="15.75" customHeight="1">
      <c r="H494" s="67"/>
    </row>
    <row r="495" spans="8:8" ht="15.75" customHeight="1">
      <c r="H495" s="67"/>
    </row>
    <row r="496" spans="8:8" ht="15.75" customHeight="1">
      <c r="H496" s="67"/>
    </row>
    <row r="497" spans="8:8" ht="15.75" customHeight="1">
      <c r="H497" s="67"/>
    </row>
    <row r="498" spans="8:8" ht="15.75" customHeight="1">
      <c r="H498" s="67"/>
    </row>
    <row r="499" spans="8:8" ht="15.75" customHeight="1">
      <c r="H499" s="67"/>
    </row>
    <row r="500" spans="8:8" ht="15.75" customHeight="1">
      <c r="H500" s="67"/>
    </row>
    <row r="501" spans="8:8" ht="15.75" customHeight="1">
      <c r="H501" s="67"/>
    </row>
    <row r="502" spans="8:8" ht="15.75" customHeight="1">
      <c r="H502" s="67"/>
    </row>
    <row r="503" spans="8:8" ht="15.75" customHeight="1">
      <c r="H503" s="67"/>
    </row>
    <row r="504" spans="8:8" ht="15.75" customHeight="1">
      <c r="H504" s="67"/>
    </row>
    <row r="505" spans="8:8" ht="15.75" customHeight="1">
      <c r="H505" s="67"/>
    </row>
    <row r="506" spans="8:8" ht="15.75" customHeight="1">
      <c r="H506" s="67"/>
    </row>
    <row r="507" spans="8:8" ht="15.75" customHeight="1">
      <c r="H507" s="67"/>
    </row>
    <row r="508" spans="8:8" ht="15.75" customHeight="1">
      <c r="H508" s="67"/>
    </row>
    <row r="509" spans="8:8" ht="15.75" customHeight="1">
      <c r="H509" s="67"/>
    </row>
    <row r="510" spans="8:8" ht="15.75" customHeight="1">
      <c r="H510" s="67"/>
    </row>
    <row r="511" spans="8:8" ht="15.75" customHeight="1">
      <c r="H511" s="67"/>
    </row>
    <row r="512" spans="8:8" ht="15.75" customHeight="1">
      <c r="H512" s="67"/>
    </row>
    <row r="513" spans="8:8" ht="15.75" customHeight="1">
      <c r="H513" s="67"/>
    </row>
    <row r="514" spans="8:8" ht="15.75" customHeight="1">
      <c r="H514" s="67"/>
    </row>
    <row r="515" spans="8:8" ht="15.75" customHeight="1">
      <c r="H515" s="67"/>
    </row>
    <row r="516" spans="8:8" ht="15.75" customHeight="1">
      <c r="H516" s="67"/>
    </row>
    <row r="517" spans="8:8" ht="15.75" customHeight="1">
      <c r="H517" s="67"/>
    </row>
    <row r="518" spans="8:8" ht="15.75" customHeight="1">
      <c r="H518" s="67"/>
    </row>
    <row r="519" spans="8:8" ht="15.75" customHeight="1">
      <c r="H519" s="67"/>
    </row>
    <row r="520" spans="8:8" ht="15.75" customHeight="1">
      <c r="H520" s="67"/>
    </row>
    <row r="521" spans="8:8" ht="15.75" customHeight="1">
      <c r="H521" s="67"/>
    </row>
    <row r="522" spans="8:8" ht="15.75" customHeight="1">
      <c r="H522" s="67"/>
    </row>
    <row r="523" spans="8:8" ht="15.75" customHeight="1">
      <c r="H523" s="67"/>
    </row>
    <row r="524" spans="8:8" ht="15.75" customHeight="1">
      <c r="H524" s="67"/>
    </row>
    <row r="525" spans="8:8" ht="15.75" customHeight="1">
      <c r="H525" s="67"/>
    </row>
    <row r="526" spans="8:8" ht="15.75" customHeight="1">
      <c r="H526" s="67"/>
    </row>
    <row r="527" spans="8:8" ht="15.75" customHeight="1">
      <c r="H527" s="67"/>
    </row>
    <row r="528" spans="8:8" ht="15.75" customHeight="1">
      <c r="H528" s="67"/>
    </row>
    <row r="529" spans="8:8" ht="15.75" customHeight="1">
      <c r="H529" s="67"/>
    </row>
    <row r="530" spans="8:8" ht="15.75" customHeight="1">
      <c r="H530" s="67"/>
    </row>
    <row r="531" spans="8:8" ht="15.75" customHeight="1">
      <c r="H531" s="67"/>
    </row>
    <row r="532" spans="8:8" ht="15.75" customHeight="1">
      <c r="H532" s="67"/>
    </row>
    <row r="533" spans="8:8" ht="15.75" customHeight="1">
      <c r="H533" s="67"/>
    </row>
    <row r="534" spans="8:8" ht="15.75" customHeight="1">
      <c r="H534" s="67"/>
    </row>
    <row r="535" spans="8:8" ht="15.75" customHeight="1">
      <c r="H535" s="67"/>
    </row>
    <row r="536" spans="8:8" ht="15.75" customHeight="1">
      <c r="H536" s="67"/>
    </row>
    <row r="537" spans="8:8" ht="15.75" customHeight="1">
      <c r="H537" s="67"/>
    </row>
    <row r="538" spans="8:8" ht="15.75" customHeight="1">
      <c r="H538" s="67"/>
    </row>
    <row r="539" spans="8:8" ht="15.75" customHeight="1">
      <c r="H539" s="67"/>
    </row>
    <row r="540" spans="8:8" ht="15.75" customHeight="1">
      <c r="H540" s="67"/>
    </row>
    <row r="541" spans="8:8" ht="15.75" customHeight="1">
      <c r="H541" s="67"/>
    </row>
    <row r="542" spans="8:8" ht="15.75" customHeight="1">
      <c r="H542" s="67"/>
    </row>
    <row r="543" spans="8:8" ht="15.75" customHeight="1">
      <c r="H543" s="67"/>
    </row>
    <row r="544" spans="8:8" ht="15.75" customHeight="1">
      <c r="H544" s="67"/>
    </row>
    <row r="545" spans="8:8" ht="15.75" customHeight="1">
      <c r="H545" s="67"/>
    </row>
    <row r="546" spans="8:8" ht="15.75" customHeight="1">
      <c r="H546" s="67"/>
    </row>
    <row r="547" spans="8:8" ht="15.75" customHeight="1">
      <c r="H547" s="67"/>
    </row>
    <row r="548" spans="8:8" ht="15.75" customHeight="1">
      <c r="H548" s="67"/>
    </row>
    <row r="549" spans="8:8" ht="15.75" customHeight="1">
      <c r="H549" s="67"/>
    </row>
    <row r="550" spans="8:8" ht="15.75" customHeight="1">
      <c r="H550" s="67"/>
    </row>
    <row r="551" spans="8:8" ht="15.75" customHeight="1">
      <c r="H551" s="67"/>
    </row>
    <row r="552" spans="8:8" ht="15.75" customHeight="1">
      <c r="H552" s="67"/>
    </row>
    <row r="553" spans="8:8" ht="15.75" customHeight="1">
      <c r="H553" s="67"/>
    </row>
    <row r="554" spans="8:8" ht="15.75" customHeight="1">
      <c r="H554" s="67"/>
    </row>
    <row r="555" spans="8:8" ht="15.75" customHeight="1">
      <c r="H555" s="67"/>
    </row>
    <row r="556" spans="8:8" ht="15.75" customHeight="1">
      <c r="H556" s="67"/>
    </row>
    <row r="557" spans="8:8" ht="15.75" customHeight="1">
      <c r="H557" s="67"/>
    </row>
    <row r="558" spans="8:8" ht="15.75" customHeight="1">
      <c r="H558" s="67"/>
    </row>
    <row r="559" spans="8:8" ht="15.75" customHeight="1">
      <c r="H559" s="67"/>
    </row>
    <row r="560" spans="8:8" ht="15.75" customHeight="1">
      <c r="H560" s="67"/>
    </row>
    <row r="561" spans="8:8" ht="15.75" customHeight="1">
      <c r="H561" s="67"/>
    </row>
    <row r="562" spans="8:8" ht="15.75" customHeight="1">
      <c r="H562" s="67"/>
    </row>
    <row r="563" spans="8:8" ht="15.75" customHeight="1">
      <c r="H563" s="67"/>
    </row>
    <row r="564" spans="8:8" ht="15.75" customHeight="1">
      <c r="H564" s="67"/>
    </row>
    <row r="565" spans="8:8" ht="15.75" customHeight="1">
      <c r="H565" s="67"/>
    </row>
    <row r="566" spans="8:8" ht="15.75" customHeight="1">
      <c r="H566" s="67"/>
    </row>
    <row r="567" spans="8:8" ht="15.75" customHeight="1">
      <c r="H567" s="67"/>
    </row>
    <row r="568" spans="8:8" ht="15.75" customHeight="1">
      <c r="H568" s="67"/>
    </row>
    <row r="569" spans="8:8" ht="15.75" customHeight="1">
      <c r="H569" s="67"/>
    </row>
    <row r="570" spans="8:8" ht="15.75" customHeight="1">
      <c r="H570" s="67"/>
    </row>
    <row r="571" spans="8:8" ht="15.75" customHeight="1">
      <c r="H571" s="67"/>
    </row>
    <row r="572" spans="8:8" ht="15.75" customHeight="1">
      <c r="H572" s="67"/>
    </row>
    <row r="573" spans="8:8" ht="15.75" customHeight="1">
      <c r="H573" s="67"/>
    </row>
    <row r="574" spans="8:8" ht="15.75" customHeight="1">
      <c r="H574" s="67"/>
    </row>
    <row r="575" spans="8:8" ht="15.75" customHeight="1">
      <c r="H575" s="67"/>
    </row>
    <row r="576" spans="8:8" ht="15.75" customHeight="1">
      <c r="H576" s="67"/>
    </row>
    <row r="577" spans="8:8" ht="15.75" customHeight="1">
      <c r="H577" s="67"/>
    </row>
    <row r="578" spans="8:8" ht="15.75" customHeight="1">
      <c r="H578" s="67"/>
    </row>
    <row r="579" spans="8:8" ht="15.75" customHeight="1">
      <c r="H579" s="67"/>
    </row>
    <row r="580" spans="8:8" ht="15.75" customHeight="1">
      <c r="H580" s="67"/>
    </row>
    <row r="581" spans="8:8" ht="15.75" customHeight="1">
      <c r="H581" s="67"/>
    </row>
    <row r="582" spans="8:8" ht="15.75" customHeight="1">
      <c r="H582" s="67"/>
    </row>
    <row r="583" spans="8:8" ht="15.75" customHeight="1">
      <c r="H583" s="67"/>
    </row>
    <row r="584" spans="8:8" ht="15.75" customHeight="1">
      <c r="H584" s="67"/>
    </row>
    <row r="585" spans="8:8" ht="15.75" customHeight="1">
      <c r="H585" s="67"/>
    </row>
    <row r="586" spans="8:8" ht="15.75" customHeight="1">
      <c r="H586" s="67"/>
    </row>
    <row r="587" spans="8:8" ht="15.75" customHeight="1">
      <c r="H587" s="67"/>
    </row>
    <row r="588" spans="8:8" ht="15.75" customHeight="1">
      <c r="H588" s="67"/>
    </row>
    <row r="589" spans="8:8" ht="15.75" customHeight="1">
      <c r="H589" s="67"/>
    </row>
    <row r="590" spans="8:8" ht="15.75" customHeight="1">
      <c r="H590" s="67"/>
    </row>
    <row r="591" spans="8:8" ht="15.75" customHeight="1">
      <c r="H591" s="67"/>
    </row>
    <row r="592" spans="8:8" ht="15.75" customHeight="1">
      <c r="H592" s="67"/>
    </row>
    <row r="593" spans="8:8" ht="15.75" customHeight="1">
      <c r="H593" s="67"/>
    </row>
    <row r="594" spans="8:8" ht="15.75" customHeight="1">
      <c r="H594" s="67"/>
    </row>
    <row r="595" spans="8:8" ht="15.75" customHeight="1">
      <c r="H595" s="67"/>
    </row>
    <row r="596" spans="8:8" ht="15.75" customHeight="1">
      <c r="H596" s="67"/>
    </row>
    <row r="597" spans="8:8" ht="15.75" customHeight="1">
      <c r="H597" s="67"/>
    </row>
    <row r="598" spans="8:8" ht="15.75" customHeight="1">
      <c r="H598" s="67"/>
    </row>
    <row r="599" spans="8:8" ht="15.75" customHeight="1">
      <c r="H599" s="67"/>
    </row>
    <row r="600" spans="8:8" ht="15.75" customHeight="1">
      <c r="H600" s="67"/>
    </row>
    <row r="601" spans="8:8" ht="15.75" customHeight="1">
      <c r="H601" s="67"/>
    </row>
    <row r="602" spans="8:8" ht="15.75" customHeight="1">
      <c r="H602" s="67"/>
    </row>
    <row r="603" spans="8:8" ht="15.75" customHeight="1">
      <c r="H603" s="67"/>
    </row>
    <row r="604" spans="8:8" ht="15.75" customHeight="1">
      <c r="H604" s="67"/>
    </row>
    <row r="605" spans="8:8" ht="15.75" customHeight="1">
      <c r="H605" s="67"/>
    </row>
    <row r="606" spans="8:8" ht="15.75" customHeight="1">
      <c r="H606" s="67"/>
    </row>
    <row r="607" spans="8:8" ht="15.75" customHeight="1">
      <c r="H607" s="67"/>
    </row>
    <row r="608" spans="8:8" ht="15.75" customHeight="1">
      <c r="H608" s="67"/>
    </row>
    <row r="609" spans="8:8" ht="15.75" customHeight="1">
      <c r="H609" s="67"/>
    </row>
    <row r="610" spans="8:8" ht="15.75" customHeight="1">
      <c r="H610" s="67"/>
    </row>
    <row r="611" spans="8:8" ht="15.75" customHeight="1">
      <c r="H611" s="67"/>
    </row>
    <row r="612" spans="8:8" ht="15.75" customHeight="1">
      <c r="H612" s="67"/>
    </row>
    <row r="613" spans="8:8" ht="15.75" customHeight="1">
      <c r="H613" s="67"/>
    </row>
    <row r="614" spans="8:8" ht="15.75" customHeight="1">
      <c r="H614" s="67"/>
    </row>
    <row r="615" spans="8:8" ht="15.75" customHeight="1">
      <c r="H615" s="67"/>
    </row>
    <row r="616" spans="8:8" ht="15.75" customHeight="1">
      <c r="H616" s="67"/>
    </row>
    <row r="617" spans="8:8" ht="15.75" customHeight="1">
      <c r="H617" s="67"/>
    </row>
    <row r="618" spans="8:8" ht="15.75" customHeight="1">
      <c r="H618" s="67"/>
    </row>
    <row r="619" spans="8:8" ht="15.75" customHeight="1">
      <c r="H619" s="67"/>
    </row>
    <row r="620" spans="8:8" ht="15.75" customHeight="1">
      <c r="H620" s="67"/>
    </row>
    <row r="621" spans="8:8" ht="15.75" customHeight="1">
      <c r="H621" s="67"/>
    </row>
    <row r="622" spans="8:8" ht="15.75" customHeight="1">
      <c r="H622" s="67"/>
    </row>
    <row r="623" spans="8:8" ht="15.75" customHeight="1">
      <c r="H623" s="67"/>
    </row>
    <row r="624" spans="8:8" ht="15.75" customHeight="1">
      <c r="H624" s="67"/>
    </row>
    <row r="625" spans="8:8" ht="15.75" customHeight="1">
      <c r="H625" s="67"/>
    </row>
    <row r="626" spans="8:8" ht="15.75" customHeight="1">
      <c r="H626" s="67"/>
    </row>
    <row r="627" spans="8:8" ht="15.75" customHeight="1">
      <c r="H627" s="67"/>
    </row>
    <row r="628" spans="8:8" ht="15.75" customHeight="1">
      <c r="H628" s="67"/>
    </row>
    <row r="629" spans="8:8" ht="15.75" customHeight="1">
      <c r="H629" s="67"/>
    </row>
    <row r="630" spans="8:8" ht="15.75" customHeight="1">
      <c r="H630" s="67"/>
    </row>
    <row r="631" spans="8:8" ht="15.75" customHeight="1">
      <c r="H631" s="67"/>
    </row>
    <row r="632" spans="8:8" ht="15.75" customHeight="1">
      <c r="H632" s="67"/>
    </row>
    <row r="633" spans="8:8" ht="15.75" customHeight="1">
      <c r="H633" s="67"/>
    </row>
    <row r="634" spans="8:8" ht="15.75" customHeight="1">
      <c r="H634" s="67"/>
    </row>
    <row r="635" spans="8:8" ht="15.75" customHeight="1">
      <c r="H635" s="67"/>
    </row>
    <row r="636" spans="8:8" ht="15.75" customHeight="1">
      <c r="H636" s="67"/>
    </row>
    <row r="637" spans="8:8" ht="15.75" customHeight="1">
      <c r="H637" s="67"/>
    </row>
    <row r="638" spans="8:8" ht="15.75" customHeight="1">
      <c r="H638" s="67"/>
    </row>
    <row r="639" spans="8:8" ht="15.75" customHeight="1">
      <c r="H639" s="67"/>
    </row>
    <row r="640" spans="8:8" ht="15.75" customHeight="1">
      <c r="H640" s="67"/>
    </row>
    <row r="641" spans="8:8" ht="15.75" customHeight="1">
      <c r="H641" s="67"/>
    </row>
    <row r="642" spans="8:8" ht="15.75" customHeight="1">
      <c r="H642" s="67"/>
    </row>
    <row r="643" spans="8:8" ht="15.75" customHeight="1">
      <c r="H643" s="67"/>
    </row>
    <row r="644" spans="8:8" ht="15.75" customHeight="1">
      <c r="H644" s="67"/>
    </row>
    <row r="645" spans="8:8" ht="15.75" customHeight="1">
      <c r="H645" s="67"/>
    </row>
    <row r="646" spans="8:8" ht="15.75" customHeight="1">
      <c r="H646" s="67"/>
    </row>
    <row r="647" spans="8:8" ht="15.75" customHeight="1">
      <c r="H647" s="67"/>
    </row>
    <row r="648" spans="8:8" ht="15.75" customHeight="1">
      <c r="H648" s="67"/>
    </row>
    <row r="649" spans="8:8" ht="15.75" customHeight="1">
      <c r="H649" s="67"/>
    </row>
    <row r="650" spans="8:8" ht="15.75" customHeight="1">
      <c r="H650" s="67"/>
    </row>
    <row r="651" spans="8:8" ht="15.75" customHeight="1">
      <c r="H651" s="67"/>
    </row>
    <row r="652" spans="8:8" ht="15.75" customHeight="1">
      <c r="H652" s="67"/>
    </row>
    <row r="653" spans="8:8" ht="15.75" customHeight="1">
      <c r="H653" s="67"/>
    </row>
    <row r="654" spans="8:8" ht="15.75" customHeight="1">
      <c r="H654" s="67"/>
    </row>
    <row r="655" spans="8:8" ht="15.75" customHeight="1">
      <c r="H655" s="67"/>
    </row>
    <row r="656" spans="8:8" ht="15.75" customHeight="1">
      <c r="H656" s="67"/>
    </row>
    <row r="657" spans="8:8" ht="15.75" customHeight="1">
      <c r="H657" s="67"/>
    </row>
    <row r="658" spans="8:8" ht="15.75" customHeight="1">
      <c r="H658" s="67"/>
    </row>
    <row r="659" spans="8:8" ht="15.75" customHeight="1">
      <c r="H659" s="67"/>
    </row>
    <row r="660" spans="8:8" ht="15.75" customHeight="1">
      <c r="H660" s="67"/>
    </row>
    <row r="661" spans="8:8" ht="15.75" customHeight="1">
      <c r="H661" s="67"/>
    </row>
    <row r="662" spans="8:8" ht="15.75" customHeight="1">
      <c r="H662" s="67"/>
    </row>
    <row r="663" spans="8:8" ht="15.75" customHeight="1">
      <c r="H663" s="67"/>
    </row>
    <row r="664" spans="8:8" ht="15.75" customHeight="1">
      <c r="H664" s="67"/>
    </row>
    <row r="665" spans="8:8" ht="15.75" customHeight="1">
      <c r="H665" s="67"/>
    </row>
    <row r="666" spans="8:8" ht="15.75" customHeight="1">
      <c r="H666" s="67"/>
    </row>
    <row r="667" spans="8:8" ht="15.75" customHeight="1">
      <c r="H667" s="67"/>
    </row>
    <row r="668" spans="8:8" ht="15.75" customHeight="1">
      <c r="H668" s="67"/>
    </row>
    <row r="669" spans="8:8" ht="15.75" customHeight="1">
      <c r="H669" s="67"/>
    </row>
    <row r="670" spans="8:8" ht="15.75" customHeight="1">
      <c r="H670" s="67"/>
    </row>
    <row r="671" spans="8:8" ht="15.75" customHeight="1">
      <c r="H671" s="67"/>
    </row>
    <row r="672" spans="8:8" ht="15.75" customHeight="1">
      <c r="H672" s="67"/>
    </row>
    <row r="673" spans="8:8" ht="15.75" customHeight="1">
      <c r="H673" s="67"/>
    </row>
    <row r="674" spans="8:8" ht="15.75" customHeight="1">
      <c r="H674" s="67"/>
    </row>
    <row r="675" spans="8:8" ht="15.75" customHeight="1">
      <c r="H675" s="67"/>
    </row>
    <row r="676" spans="8:8" ht="15.75" customHeight="1">
      <c r="H676" s="67"/>
    </row>
    <row r="677" spans="8:8" ht="15.75" customHeight="1">
      <c r="H677" s="67"/>
    </row>
    <row r="678" spans="8:8" ht="15.75" customHeight="1">
      <c r="H678" s="67"/>
    </row>
    <row r="679" spans="8:8" ht="15.75" customHeight="1">
      <c r="H679" s="67"/>
    </row>
    <row r="680" spans="8:8" ht="15.75" customHeight="1">
      <c r="H680" s="67"/>
    </row>
    <row r="681" spans="8:8" ht="15.75" customHeight="1">
      <c r="H681" s="67"/>
    </row>
    <row r="682" spans="8:8" ht="15.75" customHeight="1">
      <c r="H682" s="67"/>
    </row>
    <row r="683" spans="8:8" ht="15.75" customHeight="1">
      <c r="H683" s="67"/>
    </row>
    <row r="684" spans="8:8" ht="15.75" customHeight="1">
      <c r="H684" s="67"/>
    </row>
    <row r="685" spans="8:8" ht="15.75" customHeight="1">
      <c r="H685" s="67"/>
    </row>
    <row r="686" spans="8:8" ht="15.75" customHeight="1">
      <c r="H686" s="67"/>
    </row>
    <row r="687" spans="8:8" ht="15.75" customHeight="1">
      <c r="H687" s="67"/>
    </row>
    <row r="688" spans="8:8" ht="15.75" customHeight="1">
      <c r="H688" s="67"/>
    </row>
    <row r="689" spans="8:8" ht="15.75" customHeight="1">
      <c r="H689" s="67"/>
    </row>
    <row r="690" spans="8:8" ht="15.75" customHeight="1">
      <c r="H690" s="67"/>
    </row>
    <row r="691" spans="8:8" ht="15.75" customHeight="1">
      <c r="H691" s="67"/>
    </row>
    <row r="692" spans="8:8" ht="15.75" customHeight="1">
      <c r="H692" s="67"/>
    </row>
    <row r="693" spans="8:8" ht="15.75" customHeight="1">
      <c r="H693" s="67"/>
    </row>
    <row r="694" spans="8:8" ht="15.75" customHeight="1">
      <c r="H694" s="67"/>
    </row>
    <row r="695" spans="8:8" ht="15.75" customHeight="1">
      <c r="H695" s="67"/>
    </row>
    <row r="696" spans="8:8" ht="15.75" customHeight="1">
      <c r="H696" s="67"/>
    </row>
    <row r="697" spans="8:8" ht="15.75" customHeight="1">
      <c r="H697" s="67"/>
    </row>
    <row r="698" spans="8:8" ht="15.75" customHeight="1">
      <c r="H698" s="67"/>
    </row>
    <row r="699" spans="8:8" ht="15.75" customHeight="1">
      <c r="H699" s="67"/>
    </row>
    <row r="700" spans="8:8" ht="15.75" customHeight="1">
      <c r="H700" s="67"/>
    </row>
    <row r="701" spans="8:8" ht="15.75" customHeight="1">
      <c r="H701" s="67"/>
    </row>
    <row r="702" spans="8:8" ht="15.75" customHeight="1">
      <c r="H702" s="67"/>
    </row>
    <row r="703" spans="8:8" ht="15.75" customHeight="1">
      <c r="H703" s="67"/>
    </row>
    <row r="704" spans="8:8" ht="15.75" customHeight="1">
      <c r="H704" s="67"/>
    </row>
    <row r="705" spans="8:8" ht="15.75" customHeight="1">
      <c r="H705" s="67"/>
    </row>
    <row r="706" spans="8:8" ht="15.75" customHeight="1">
      <c r="H706" s="67"/>
    </row>
    <row r="707" spans="8:8" ht="15.75" customHeight="1">
      <c r="H707" s="67"/>
    </row>
    <row r="708" spans="8:8" ht="15.75" customHeight="1">
      <c r="H708" s="67"/>
    </row>
    <row r="709" spans="8:8" ht="15.75" customHeight="1">
      <c r="H709" s="67"/>
    </row>
    <row r="710" spans="8:8" ht="15.75" customHeight="1">
      <c r="H710" s="67"/>
    </row>
    <row r="711" spans="8:8" ht="15.75" customHeight="1">
      <c r="H711" s="67"/>
    </row>
    <row r="712" spans="8:8" ht="15.75" customHeight="1">
      <c r="H712" s="67"/>
    </row>
    <row r="713" spans="8:8" ht="15.75" customHeight="1">
      <c r="H713" s="67"/>
    </row>
    <row r="714" spans="8:8" ht="15.75" customHeight="1">
      <c r="H714" s="67"/>
    </row>
    <row r="715" spans="8:8" ht="15.75" customHeight="1">
      <c r="H715" s="67"/>
    </row>
    <row r="716" spans="8:8" ht="15.75" customHeight="1">
      <c r="H716" s="67"/>
    </row>
    <row r="717" spans="8:8" ht="15.75" customHeight="1">
      <c r="H717" s="67"/>
    </row>
    <row r="718" spans="8:8" ht="15.75" customHeight="1">
      <c r="H718" s="67"/>
    </row>
    <row r="719" spans="8:8" ht="15.75" customHeight="1">
      <c r="H719" s="67"/>
    </row>
    <row r="720" spans="8:8" ht="15.75" customHeight="1">
      <c r="H720" s="67"/>
    </row>
    <row r="721" spans="8:8" ht="15.75" customHeight="1">
      <c r="H721" s="67"/>
    </row>
    <row r="722" spans="8:8" ht="15.75" customHeight="1">
      <c r="H722" s="67"/>
    </row>
    <row r="723" spans="8:8" ht="15.75" customHeight="1">
      <c r="H723" s="67"/>
    </row>
    <row r="724" spans="8:8" ht="15.75" customHeight="1">
      <c r="H724" s="67"/>
    </row>
    <row r="725" spans="8:8" ht="15.75" customHeight="1">
      <c r="H725" s="67"/>
    </row>
    <row r="726" spans="8:8" ht="15.75" customHeight="1">
      <c r="H726" s="67"/>
    </row>
    <row r="727" spans="8:8" ht="15.75" customHeight="1">
      <c r="H727" s="67"/>
    </row>
    <row r="728" spans="8:8" ht="15.75" customHeight="1">
      <c r="H728" s="67"/>
    </row>
    <row r="729" spans="8:8" ht="15.75" customHeight="1">
      <c r="H729" s="67"/>
    </row>
    <row r="730" spans="8:8" ht="15.75" customHeight="1">
      <c r="H730" s="67"/>
    </row>
    <row r="731" spans="8:8" ht="15.75" customHeight="1">
      <c r="H731" s="67"/>
    </row>
    <row r="732" spans="8:8" ht="15.75" customHeight="1">
      <c r="H732" s="67"/>
    </row>
    <row r="733" spans="8:8" ht="15.75" customHeight="1">
      <c r="H733" s="67"/>
    </row>
    <row r="734" spans="8:8" ht="15.75" customHeight="1">
      <c r="H734" s="67"/>
    </row>
    <row r="735" spans="8:8" ht="15.75" customHeight="1">
      <c r="H735" s="67"/>
    </row>
    <row r="736" spans="8:8" ht="15.75" customHeight="1">
      <c r="H736" s="67"/>
    </row>
    <row r="737" spans="8:8" ht="15.75" customHeight="1">
      <c r="H737" s="67"/>
    </row>
    <row r="738" spans="8:8" ht="15.75" customHeight="1">
      <c r="H738" s="67"/>
    </row>
    <row r="739" spans="8:8" ht="15.75" customHeight="1">
      <c r="H739" s="67"/>
    </row>
    <row r="740" spans="8:8" ht="15.75" customHeight="1">
      <c r="H740" s="67"/>
    </row>
    <row r="741" spans="8:8" ht="15.75" customHeight="1">
      <c r="H741" s="67"/>
    </row>
    <row r="742" spans="8:8" ht="15.75" customHeight="1">
      <c r="H742" s="67"/>
    </row>
    <row r="743" spans="8:8" ht="15.75" customHeight="1">
      <c r="H743" s="67"/>
    </row>
    <row r="744" spans="8:8" ht="15.75" customHeight="1">
      <c r="H744" s="67"/>
    </row>
    <row r="745" spans="8:8" ht="15.75" customHeight="1">
      <c r="H745" s="67"/>
    </row>
    <row r="746" spans="8:8" ht="15.75" customHeight="1">
      <c r="H746" s="67"/>
    </row>
    <row r="747" spans="8:8" ht="15.75" customHeight="1">
      <c r="H747" s="67"/>
    </row>
    <row r="748" spans="8:8" ht="15.75" customHeight="1">
      <c r="H748" s="67"/>
    </row>
    <row r="749" spans="8:8" ht="15.75" customHeight="1">
      <c r="H749" s="67"/>
    </row>
    <row r="750" spans="8:8" ht="15.75" customHeight="1">
      <c r="H750" s="67"/>
    </row>
    <row r="751" spans="8:8" ht="15.75" customHeight="1">
      <c r="H751" s="67"/>
    </row>
    <row r="752" spans="8:8" ht="15.75" customHeight="1">
      <c r="H752" s="67"/>
    </row>
    <row r="753" spans="8:8" ht="15.75" customHeight="1">
      <c r="H753" s="67"/>
    </row>
    <row r="754" spans="8:8" ht="15.75" customHeight="1">
      <c r="H754" s="67"/>
    </row>
    <row r="755" spans="8:8" ht="15.75" customHeight="1">
      <c r="H755" s="67"/>
    </row>
    <row r="756" spans="8:8" ht="15.75" customHeight="1">
      <c r="H756" s="67"/>
    </row>
    <row r="757" spans="8:8" ht="15.75" customHeight="1">
      <c r="H757" s="67"/>
    </row>
    <row r="758" spans="8:8" ht="15.75" customHeight="1">
      <c r="H758" s="67"/>
    </row>
    <row r="759" spans="8:8" ht="15.75" customHeight="1">
      <c r="H759" s="67"/>
    </row>
    <row r="760" spans="8:8" ht="15.75" customHeight="1">
      <c r="H760" s="67"/>
    </row>
    <row r="761" spans="8:8" ht="15.75" customHeight="1">
      <c r="H761" s="67"/>
    </row>
    <row r="762" spans="8:8" ht="15.75" customHeight="1">
      <c r="H762" s="67"/>
    </row>
    <row r="763" spans="8:8" ht="15.75" customHeight="1">
      <c r="H763" s="67"/>
    </row>
    <row r="764" spans="8:8" ht="15.75" customHeight="1">
      <c r="H764" s="67"/>
    </row>
    <row r="765" spans="8:8" ht="15.75" customHeight="1">
      <c r="H765" s="67"/>
    </row>
    <row r="766" spans="8:8" ht="15.75" customHeight="1">
      <c r="H766" s="67"/>
    </row>
    <row r="767" spans="8:8" ht="15.75" customHeight="1">
      <c r="H767" s="67"/>
    </row>
    <row r="768" spans="8:8" ht="15.75" customHeight="1">
      <c r="H768" s="67"/>
    </row>
    <row r="769" spans="8:8" ht="15.75" customHeight="1">
      <c r="H769" s="67"/>
    </row>
    <row r="770" spans="8:8" ht="15.75" customHeight="1">
      <c r="H770" s="67"/>
    </row>
    <row r="771" spans="8:8" ht="15.75" customHeight="1">
      <c r="H771" s="67"/>
    </row>
    <row r="772" spans="8:8" ht="15.75" customHeight="1">
      <c r="H772" s="67"/>
    </row>
    <row r="773" spans="8:8" ht="15.75" customHeight="1">
      <c r="H773" s="67"/>
    </row>
    <row r="774" spans="8:8" ht="15.75" customHeight="1">
      <c r="H774" s="67"/>
    </row>
    <row r="775" spans="8:8" ht="15.75" customHeight="1">
      <c r="H775" s="67"/>
    </row>
    <row r="776" spans="8:8" ht="15.75" customHeight="1">
      <c r="H776" s="67"/>
    </row>
    <row r="777" spans="8:8" ht="15.75" customHeight="1">
      <c r="H777" s="67"/>
    </row>
    <row r="778" spans="8:8" ht="15.75" customHeight="1">
      <c r="H778" s="67"/>
    </row>
    <row r="779" spans="8:8" ht="15.75" customHeight="1">
      <c r="H779" s="67"/>
    </row>
    <row r="780" spans="8:8" ht="15.75" customHeight="1">
      <c r="H780" s="67"/>
    </row>
    <row r="781" spans="8:8" ht="15.75" customHeight="1">
      <c r="H781" s="67"/>
    </row>
    <row r="782" spans="8:8" ht="15.75" customHeight="1">
      <c r="H782" s="67"/>
    </row>
    <row r="783" spans="8:8" ht="15.75" customHeight="1">
      <c r="H783" s="67"/>
    </row>
    <row r="784" spans="8:8" ht="15.75" customHeight="1">
      <c r="H784" s="67"/>
    </row>
    <row r="785" spans="8:8" ht="15.75" customHeight="1">
      <c r="H785" s="67"/>
    </row>
    <row r="786" spans="8:8" ht="15.75" customHeight="1">
      <c r="H786" s="67"/>
    </row>
    <row r="787" spans="8:8" ht="15.75" customHeight="1">
      <c r="H787" s="67"/>
    </row>
    <row r="788" spans="8:8" ht="15.75" customHeight="1">
      <c r="H788" s="67"/>
    </row>
    <row r="789" spans="8:8" ht="15.75" customHeight="1">
      <c r="H789" s="67"/>
    </row>
    <row r="790" spans="8:8" ht="15.75" customHeight="1">
      <c r="H790" s="67"/>
    </row>
    <row r="791" spans="8:8" ht="15.75" customHeight="1">
      <c r="H791" s="67"/>
    </row>
    <row r="792" spans="8:8" ht="15.75" customHeight="1">
      <c r="H792" s="67"/>
    </row>
    <row r="793" spans="8:8" ht="15.75" customHeight="1">
      <c r="H793" s="67"/>
    </row>
    <row r="794" spans="8:8" ht="15.75" customHeight="1">
      <c r="H794" s="67"/>
    </row>
    <row r="795" spans="8:8" ht="15.75" customHeight="1">
      <c r="H795" s="67"/>
    </row>
    <row r="796" spans="8:8" ht="15.75" customHeight="1">
      <c r="H796" s="67"/>
    </row>
    <row r="797" spans="8:8" ht="15.75" customHeight="1">
      <c r="H797" s="67"/>
    </row>
    <row r="798" spans="8:8" ht="15.75" customHeight="1">
      <c r="H798" s="67"/>
    </row>
    <row r="799" spans="8:8" ht="15.75" customHeight="1">
      <c r="H799" s="67"/>
    </row>
    <row r="800" spans="8:8" ht="15.75" customHeight="1">
      <c r="H800" s="67"/>
    </row>
    <row r="801" spans="8:8" ht="15.75" customHeight="1">
      <c r="H801" s="67"/>
    </row>
    <row r="802" spans="8:8" ht="15.75" customHeight="1">
      <c r="H802" s="67"/>
    </row>
    <row r="803" spans="8:8" ht="15.75" customHeight="1">
      <c r="H803" s="67"/>
    </row>
    <row r="804" spans="8:8" ht="15.75" customHeight="1">
      <c r="H804" s="67"/>
    </row>
    <row r="805" spans="8:8" ht="15.75" customHeight="1">
      <c r="H805" s="67"/>
    </row>
    <row r="806" spans="8:8" ht="15.75" customHeight="1">
      <c r="H806" s="67"/>
    </row>
    <row r="807" spans="8:8" ht="15.75" customHeight="1">
      <c r="H807" s="67"/>
    </row>
    <row r="808" spans="8:8" ht="15.75" customHeight="1">
      <c r="H808" s="67"/>
    </row>
    <row r="809" spans="8:8" ht="15.75" customHeight="1">
      <c r="H809" s="67"/>
    </row>
    <row r="810" spans="8:8" ht="15.75" customHeight="1">
      <c r="H810" s="67"/>
    </row>
    <row r="811" spans="8:8" ht="15.75" customHeight="1">
      <c r="H811" s="67"/>
    </row>
    <row r="812" spans="8:8" ht="15.75" customHeight="1">
      <c r="H812" s="67"/>
    </row>
    <row r="813" spans="8:8" ht="15.75" customHeight="1">
      <c r="H813" s="67"/>
    </row>
    <row r="814" spans="8:8" ht="15.75" customHeight="1">
      <c r="H814" s="67"/>
    </row>
    <row r="815" spans="8:8" ht="15.75" customHeight="1">
      <c r="H815" s="67"/>
    </row>
    <row r="816" spans="8:8" ht="15.75" customHeight="1">
      <c r="H816" s="67"/>
    </row>
    <row r="817" spans="8:8" ht="15.75" customHeight="1">
      <c r="H817" s="67"/>
    </row>
    <row r="818" spans="8:8" ht="15.75" customHeight="1">
      <c r="H818" s="67"/>
    </row>
    <row r="819" spans="8:8" ht="15.75" customHeight="1">
      <c r="H819" s="67"/>
    </row>
    <row r="820" spans="8:8" ht="15.75" customHeight="1">
      <c r="H820" s="67"/>
    </row>
    <row r="821" spans="8:8" ht="15.75" customHeight="1">
      <c r="H821" s="67"/>
    </row>
    <row r="822" spans="8:8" ht="15.75" customHeight="1">
      <c r="H822" s="67"/>
    </row>
    <row r="823" spans="8:8" ht="15.75" customHeight="1">
      <c r="H823" s="67"/>
    </row>
    <row r="824" spans="8:8" ht="15.75" customHeight="1">
      <c r="H824" s="67"/>
    </row>
    <row r="825" spans="8:8" ht="15.75" customHeight="1">
      <c r="H825" s="67"/>
    </row>
    <row r="826" spans="8:8" ht="15.75" customHeight="1">
      <c r="H826" s="67"/>
    </row>
    <row r="827" spans="8:8" ht="15.75" customHeight="1">
      <c r="H827" s="67"/>
    </row>
    <row r="828" spans="8:8" ht="15.75" customHeight="1">
      <c r="H828" s="67"/>
    </row>
    <row r="829" spans="8:8" ht="15.75" customHeight="1">
      <c r="H829" s="67"/>
    </row>
    <row r="830" spans="8:8" ht="15.75" customHeight="1">
      <c r="H830" s="67"/>
    </row>
    <row r="831" spans="8:8" ht="15.75" customHeight="1">
      <c r="H831" s="67"/>
    </row>
    <row r="832" spans="8:8" ht="15.75" customHeight="1">
      <c r="H832" s="67"/>
    </row>
    <row r="833" spans="8:8" ht="15.75" customHeight="1">
      <c r="H833" s="67"/>
    </row>
    <row r="834" spans="8:8" ht="15.75" customHeight="1">
      <c r="H834" s="67"/>
    </row>
    <row r="835" spans="8:8" ht="15.75" customHeight="1">
      <c r="H835" s="67"/>
    </row>
    <row r="836" spans="8:8" ht="15.75" customHeight="1">
      <c r="H836" s="67"/>
    </row>
    <row r="837" spans="8:8" ht="15.75" customHeight="1">
      <c r="H837" s="67"/>
    </row>
    <row r="838" spans="8:8" ht="15.75" customHeight="1">
      <c r="H838" s="67"/>
    </row>
    <row r="839" spans="8:8" ht="15.75" customHeight="1">
      <c r="H839" s="67"/>
    </row>
    <row r="840" spans="8:8" ht="15.75" customHeight="1">
      <c r="H840" s="67"/>
    </row>
    <row r="841" spans="8:8" ht="15.75" customHeight="1">
      <c r="H841" s="67"/>
    </row>
    <row r="842" spans="8:8" ht="15.75" customHeight="1">
      <c r="H842" s="67"/>
    </row>
    <row r="843" spans="8:8" ht="15.75" customHeight="1">
      <c r="H843" s="67"/>
    </row>
    <row r="844" spans="8:8" ht="15.75" customHeight="1">
      <c r="H844" s="67"/>
    </row>
    <row r="845" spans="8:8" ht="15.75" customHeight="1">
      <c r="H845" s="67"/>
    </row>
    <row r="846" spans="8:8" ht="15.75" customHeight="1">
      <c r="H846" s="67"/>
    </row>
    <row r="847" spans="8:8" ht="15.75" customHeight="1">
      <c r="H847" s="67"/>
    </row>
    <row r="848" spans="8:8" ht="15.75" customHeight="1">
      <c r="H848" s="67"/>
    </row>
    <row r="849" spans="8:8" ht="15.75" customHeight="1">
      <c r="H849" s="67"/>
    </row>
    <row r="850" spans="8:8" ht="15.75" customHeight="1">
      <c r="H850" s="67"/>
    </row>
    <row r="851" spans="8:8" ht="15.75" customHeight="1">
      <c r="H851" s="67"/>
    </row>
    <row r="852" spans="8:8" ht="15.75" customHeight="1">
      <c r="H852" s="67"/>
    </row>
    <row r="853" spans="8:8" ht="15.75" customHeight="1">
      <c r="H853" s="67"/>
    </row>
    <row r="854" spans="8:8" ht="15.75" customHeight="1">
      <c r="H854" s="67"/>
    </row>
    <row r="855" spans="8:8" ht="15.75" customHeight="1">
      <c r="H855" s="67"/>
    </row>
    <row r="856" spans="8:8" ht="15.75" customHeight="1">
      <c r="H856" s="67"/>
    </row>
    <row r="857" spans="8:8" ht="15.75" customHeight="1">
      <c r="H857" s="67"/>
    </row>
    <row r="858" spans="8:8" ht="15.75" customHeight="1">
      <c r="H858" s="67"/>
    </row>
    <row r="859" spans="8:8" ht="15.75" customHeight="1">
      <c r="H859" s="67"/>
    </row>
    <row r="860" spans="8:8" ht="15.75" customHeight="1">
      <c r="H860" s="67"/>
    </row>
    <row r="861" spans="8:8" ht="15.75" customHeight="1">
      <c r="H861" s="67"/>
    </row>
    <row r="862" spans="8:8" ht="15.75" customHeight="1">
      <c r="H862" s="67"/>
    </row>
    <row r="863" spans="8:8" ht="15.75" customHeight="1">
      <c r="H863" s="67"/>
    </row>
    <row r="864" spans="8:8" ht="15.75" customHeight="1">
      <c r="H864" s="67"/>
    </row>
    <row r="865" spans="8:8" ht="15.75" customHeight="1">
      <c r="H865" s="67"/>
    </row>
    <row r="866" spans="8:8" ht="15.75" customHeight="1">
      <c r="H866" s="67"/>
    </row>
    <row r="867" spans="8:8" ht="15.75" customHeight="1">
      <c r="H867" s="67"/>
    </row>
    <row r="868" spans="8:8" ht="15.75" customHeight="1">
      <c r="H868" s="67"/>
    </row>
    <row r="869" spans="8:8" ht="15.75" customHeight="1">
      <c r="H869" s="67"/>
    </row>
    <row r="870" spans="8:8" ht="15.75" customHeight="1">
      <c r="H870" s="67"/>
    </row>
    <row r="871" spans="8:8" ht="15.75" customHeight="1">
      <c r="H871" s="67"/>
    </row>
    <row r="872" spans="8:8" ht="15.75" customHeight="1">
      <c r="H872" s="67"/>
    </row>
    <row r="873" spans="8:8" ht="15.75" customHeight="1">
      <c r="H873" s="67"/>
    </row>
    <row r="874" spans="8:8" ht="15.75" customHeight="1">
      <c r="H874" s="67"/>
    </row>
    <row r="875" spans="8:8" ht="15.75" customHeight="1">
      <c r="H875" s="67"/>
    </row>
    <row r="876" spans="8:8" ht="15.75" customHeight="1">
      <c r="H876" s="67"/>
    </row>
    <row r="877" spans="8:8" ht="15.75" customHeight="1">
      <c r="H877" s="67"/>
    </row>
    <row r="878" spans="8:8" ht="15.75" customHeight="1">
      <c r="H878" s="67"/>
    </row>
    <row r="879" spans="8:8" ht="15.75" customHeight="1">
      <c r="H879" s="67"/>
    </row>
    <row r="880" spans="8:8" ht="15.75" customHeight="1">
      <c r="H880" s="67"/>
    </row>
    <row r="881" spans="8:8" ht="15.75" customHeight="1">
      <c r="H881" s="67"/>
    </row>
    <row r="882" spans="8:8" ht="15.75" customHeight="1">
      <c r="H882" s="67"/>
    </row>
    <row r="883" spans="8:8" ht="15.75" customHeight="1">
      <c r="H883" s="67"/>
    </row>
    <row r="884" spans="8:8" ht="15.75" customHeight="1">
      <c r="H884" s="67"/>
    </row>
    <row r="885" spans="8:8" ht="15.75" customHeight="1">
      <c r="H885" s="67"/>
    </row>
    <row r="886" spans="8:8" ht="15.75" customHeight="1">
      <c r="H886" s="67"/>
    </row>
    <row r="887" spans="8:8" ht="15.75" customHeight="1">
      <c r="H887" s="67"/>
    </row>
    <row r="888" spans="8:8" ht="15.75" customHeight="1">
      <c r="H888" s="67"/>
    </row>
    <row r="889" spans="8:8" ht="15.75" customHeight="1">
      <c r="H889" s="67"/>
    </row>
    <row r="890" spans="8:8" ht="15.75" customHeight="1">
      <c r="H890" s="67"/>
    </row>
    <row r="891" spans="8:8" ht="15.75" customHeight="1">
      <c r="H891" s="67"/>
    </row>
    <row r="892" spans="8:8" ht="15.75" customHeight="1">
      <c r="H892" s="67"/>
    </row>
    <row r="893" spans="8:8" ht="15.75" customHeight="1">
      <c r="H893" s="67"/>
    </row>
    <row r="894" spans="8:8" ht="15.75" customHeight="1">
      <c r="H894" s="67"/>
    </row>
    <row r="895" spans="8:8" ht="15.75" customHeight="1">
      <c r="H895" s="67"/>
    </row>
    <row r="896" spans="8:8" ht="15.75" customHeight="1">
      <c r="H896" s="67"/>
    </row>
    <row r="897" spans="8:8" ht="15.75" customHeight="1">
      <c r="H897" s="67"/>
    </row>
    <row r="898" spans="8:8" ht="15.75" customHeight="1">
      <c r="H898" s="67"/>
    </row>
    <row r="899" spans="8:8" ht="15.75" customHeight="1">
      <c r="H899" s="67"/>
    </row>
    <row r="900" spans="8:8" ht="15.75" customHeight="1">
      <c r="H900" s="67"/>
    </row>
    <row r="901" spans="8:8" ht="15.75" customHeight="1">
      <c r="H901" s="67"/>
    </row>
    <row r="902" spans="8:8" ht="15.75" customHeight="1">
      <c r="H902" s="67"/>
    </row>
    <row r="903" spans="8:8" ht="15.75" customHeight="1">
      <c r="H903" s="67"/>
    </row>
    <row r="904" spans="8:8" ht="15.75" customHeight="1">
      <c r="H904" s="67"/>
    </row>
    <row r="905" spans="8:8" ht="15.75" customHeight="1">
      <c r="H905" s="67"/>
    </row>
    <row r="906" spans="8:8" ht="15.75" customHeight="1">
      <c r="H906" s="67"/>
    </row>
    <row r="907" spans="8:8" ht="15.75" customHeight="1">
      <c r="H907" s="67"/>
    </row>
    <row r="908" spans="8:8" ht="15.75" customHeight="1">
      <c r="H908" s="67"/>
    </row>
    <row r="909" spans="8:8" ht="15.75" customHeight="1">
      <c r="H909" s="67"/>
    </row>
    <row r="910" spans="8:8" ht="15.75" customHeight="1">
      <c r="H910" s="67"/>
    </row>
    <row r="911" spans="8:8" ht="15.75" customHeight="1">
      <c r="H911" s="67"/>
    </row>
    <row r="912" spans="8:8" ht="15.75" customHeight="1">
      <c r="H912" s="67"/>
    </row>
    <row r="913" spans="8:8" ht="15.75" customHeight="1">
      <c r="H913" s="67"/>
    </row>
    <row r="914" spans="8:8" ht="15.75" customHeight="1">
      <c r="H914" s="67"/>
    </row>
    <row r="915" spans="8:8" ht="15.75" customHeight="1">
      <c r="H915" s="67"/>
    </row>
    <row r="916" spans="8:8" ht="15.75" customHeight="1">
      <c r="H916" s="67"/>
    </row>
    <row r="917" spans="8:8" ht="15.75" customHeight="1">
      <c r="H917" s="67"/>
    </row>
    <row r="918" spans="8:8" ht="15.75" customHeight="1">
      <c r="H918" s="67"/>
    </row>
    <row r="919" spans="8:8" ht="15.75" customHeight="1">
      <c r="H919" s="67"/>
    </row>
    <row r="920" spans="8:8" ht="15.75" customHeight="1">
      <c r="H920" s="67"/>
    </row>
    <row r="921" spans="8:8" ht="15.75" customHeight="1">
      <c r="H921" s="67"/>
    </row>
    <row r="922" spans="8:8" ht="15.75" customHeight="1">
      <c r="H922" s="67"/>
    </row>
    <row r="923" spans="8:8" ht="15.75" customHeight="1">
      <c r="H923" s="67"/>
    </row>
    <row r="924" spans="8:8" ht="15.75" customHeight="1">
      <c r="H924" s="67"/>
    </row>
    <row r="925" spans="8:8" ht="15.75" customHeight="1">
      <c r="H925" s="67"/>
    </row>
    <row r="926" spans="8:8" ht="15.75" customHeight="1">
      <c r="H926" s="67"/>
    </row>
    <row r="927" spans="8:8" ht="15.75" customHeight="1">
      <c r="H927" s="67"/>
    </row>
    <row r="928" spans="8:8" ht="15.75" customHeight="1">
      <c r="H928" s="67"/>
    </row>
    <row r="929" spans="8:8" ht="15.75" customHeight="1">
      <c r="H929" s="67"/>
    </row>
    <row r="930" spans="8:8" ht="15.75" customHeight="1">
      <c r="H930" s="67"/>
    </row>
    <row r="931" spans="8:8" ht="15.75" customHeight="1">
      <c r="H931" s="67"/>
    </row>
    <row r="932" spans="8:8" ht="15.75" customHeight="1">
      <c r="H932" s="67"/>
    </row>
    <row r="933" spans="8:8" ht="15.75" customHeight="1">
      <c r="H933" s="67"/>
    </row>
    <row r="934" spans="8:8" ht="15.75" customHeight="1">
      <c r="H934" s="67"/>
    </row>
    <row r="935" spans="8:8" ht="15.75" customHeight="1">
      <c r="H935" s="67"/>
    </row>
    <row r="936" spans="8:8" ht="15.75" customHeight="1">
      <c r="H936" s="67"/>
    </row>
    <row r="937" spans="8:8" ht="15.75" customHeight="1">
      <c r="H937" s="67"/>
    </row>
    <row r="938" spans="8:8" ht="15.75" customHeight="1">
      <c r="H938" s="67"/>
    </row>
    <row r="939" spans="8:8" ht="15.75" customHeight="1">
      <c r="H939" s="67"/>
    </row>
    <row r="940" spans="8:8" ht="15.75" customHeight="1">
      <c r="H940" s="67"/>
    </row>
    <row r="941" spans="8:8" ht="15.75" customHeight="1">
      <c r="H941" s="67"/>
    </row>
    <row r="942" spans="8:8" ht="15.75" customHeight="1">
      <c r="H942" s="67"/>
    </row>
    <row r="943" spans="8:8" ht="15.75" customHeight="1">
      <c r="H943" s="67"/>
    </row>
    <row r="944" spans="8:8" ht="15.75" customHeight="1">
      <c r="H944" s="67"/>
    </row>
    <row r="945" spans="8:8" ht="15.75" customHeight="1">
      <c r="H945" s="67"/>
    </row>
    <row r="946" spans="8:8" ht="15.75" customHeight="1">
      <c r="H946" s="67"/>
    </row>
    <row r="947" spans="8:8" ht="15.75" customHeight="1">
      <c r="H947" s="67"/>
    </row>
    <row r="948" spans="8:8" ht="15.75" customHeight="1">
      <c r="H948" s="67"/>
    </row>
    <row r="949" spans="8:8" ht="15.75" customHeight="1">
      <c r="H949" s="67"/>
    </row>
    <row r="950" spans="8:8" ht="15.75" customHeight="1">
      <c r="H950" s="67"/>
    </row>
    <row r="951" spans="8:8" ht="15.75" customHeight="1">
      <c r="H951" s="67"/>
    </row>
    <row r="952" spans="8:8" ht="15.75" customHeight="1">
      <c r="H952" s="67"/>
    </row>
    <row r="953" spans="8:8" ht="15.75" customHeight="1">
      <c r="H953" s="67"/>
    </row>
    <row r="954" spans="8:8" ht="15.75" customHeight="1">
      <c r="H954" s="67"/>
    </row>
    <row r="955" spans="8:8" ht="15.75" customHeight="1">
      <c r="H955" s="67"/>
    </row>
    <row r="956" spans="8:8" ht="15.75" customHeight="1">
      <c r="H956" s="67"/>
    </row>
    <row r="957" spans="8:8" ht="15.75" customHeight="1">
      <c r="H957" s="67"/>
    </row>
    <row r="958" spans="8:8" ht="15.75" customHeight="1">
      <c r="H958" s="67"/>
    </row>
    <row r="959" spans="8:8" ht="15.75" customHeight="1">
      <c r="H959" s="67"/>
    </row>
    <row r="960" spans="8:8" ht="15.75" customHeight="1">
      <c r="H960" s="67"/>
    </row>
    <row r="961" spans="8:8" ht="15.75" customHeight="1">
      <c r="H961" s="67"/>
    </row>
    <row r="962" spans="8:8" ht="15.75" customHeight="1">
      <c r="H962" s="67"/>
    </row>
    <row r="963" spans="8:8" ht="15.75" customHeight="1">
      <c r="H963" s="67"/>
    </row>
    <row r="964" spans="8:8" ht="15.75" customHeight="1">
      <c r="H964" s="67"/>
    </row>
    <row r="965" spans="8:8" ht="15.75" customHeight="1">
      <c r="H965" s="67"/>
    </row>
    <row r="966" spans="8:8" ht="15.75" customHeight="1">
      <c r="H966" s="67"/>
    </row>
    <row r="967" spans="8:8" ht="15.75" customHeight="1">
      <c r="H967" s="67"/>
    </row>
    <row r="968" spans="8:8" ht="15.75" customHeight="1">
      <c r="H968" s="67"/>
    </row>
    <row r="969" spans="8:8" ht="15.75" customHeight="1">
      <c r="H969" s="67"/>
    </row>
    <row r="970" spans="8:8" ht="15.75" customHeight="1">
      <c r="H970" s="67"/>
    </row>
    <row r="971" spans="8:8" ht="15.75" customHeight="1">
      <c r="H971" s="67"/>
    </row>
    <row r="972" spans="8:8" ht="15.75" customHeight="1">
      <c r="H972" s="67"/>
    </row>
    <row r="973" spans="8:8" ht="15.75" customHeight="1">
      <c r="H973" s="67"/>
    </row>
    <row r="974" spans="8:8" ht="15.75" customHeight="1">
      <c r="H974" s="67"/>
    </row>
    <row r="975" spans="8:8" ht="15.75" customHeight="1">
      <c r="H975" s="67"/>
    </row>
    <row r="976" spans="8:8" ht="15.75" customHeight="1">
      <c r="H976" s="67"/>
    </row>
    <row r="977" spans="8:8" ht="15.75" customHeight="1">
      <c r="H977" s="67"/>
    </row>
    <row r="978" spans="8:8" ht="15.75" customHeight="1">
      <c r="H978" s="67"/>
    </row>
    <row r="979" spans="8:8" ht="15.75" customHeight="1">
      <c r="H979" s="67"/>
    </row>
    <row r="980" spans="8:8" ht="15.75" customHeight="1">
      <c r="H980" s="67"/>
    </row>
    <row r="981" spans="8:8" ht="15.75" customHeight="1">
      <c r="H981" s="67"/>
    </row>
    <row r="982" spans="8:8" ht="15.75" customHeight="1">
      <c r="H982" s="67"/>
    </row>
    <row r="983" spans="8:8" ht="15.75" customHeight="1">
      <c r="H983" s="67"/>
    </row>
    <row r="984" spans="8:8" ht="15.75" customHeight="1">
      <c r="H984" s="67"/>
    </row>
    <row r="985" spans="8:8" ht="15.75" customHeight="1">
      <c r="H985" s="67"/>
    </row>
    <row r="986" spans="8:8" ht="15.75" customHeight="1">
      <c r="H986" s="67"/>
    </row>
    <row r="987" spans="8:8" ht="15.75" customHeight="1">
      <c r="H987" s="67"/>
    </row>
    <row r="988" spans="8:8" ht="15.75" customHeight="1">
      <c r="H988" s="67"/>
    </row>
    <row r="989" spans="8:8" ht="15.75" customHeight="1">
      <c r="H989" s="67"/>
    </row>
    <row r="990" spans="8:8" ht="15.75" customHeight="1">
      <c r="H990" s="67"/>
    </row>
    <row r="991" spans="8:8" ht="15.75" customHeight="1">
      <c r="H991" s="67"/>
    </row>
    <row r="992" spans="8:8" ht="15.75" customHeight="1">
      <c r="H992" s="67"/>
    </row>
    <row r="993" spans="8:8" ht="15.75" customHeight="1">
      <c r="H993" s="67"/>
    </row>
    <row r="994" spans="8:8" ht="15.75" customHeight="1">
      <c r="H994" s="67"/>
    </row>
    <row r="995" spans="8:8" ht="15.75" customHeight="1">
      <c r="H995" s="67"/>
    </row>
    <row r="996" spans="8:8" ht="15.75" customHeight="1">
      <c r="H996" s="67"/>
    </row>
    <row r="997" spans="8:8" ht="15.75" customHeight="1">
      <c r="H997" s="67"/>
    </row>
    <row r="998" spans="8:8" ht="15.75" customHeight="1">
      <c r="H998" s="67"/>
    </row>
    <row r="999" spans="8:8" ht="15.75" customHeight="1">
      <c r="H999" s="67"/>
    </row>
    <row r="1000" spans="8:8" ht="15.75" customHeight="1">
      <c r="H1000" s="67"/>
    </row>
  </sheetData>
  <mergeCells count="12">
    <mergeCell ref="A70:I70"/>
    <mergeCell ref="A81:I81"/>
    <mergeCell ref="A92:I92"/>
    <mergeCell ref="A99:I99"/>
    <mergeCell ref="A108:B108"/>
    <mergeCell ref="A43:I43"/>
    <mergeCell ref="A59:I59"/>
    <mergeCell ref="A1:I1"/>
    <mergeCell ref="A2:I2"/>
    <mergeCell ref="A5:I5"/>
    <mergeCell ref="A16:I16"/>
    <mergeCell ref="A32:I32"/>
  </mergeCells>
  <dataValidations count="1">
    <dataValidation type="list" allowBlank="1" sqref="G6:G15 G17:G31 G33:G42 G44:G58 G60:G69 G71:G80 G82:G91 G93:G98 G100:G107">
      <formula1>"Pass,Fail,Not Run,Blocked"</formula1>
    </dataValidation>
  </dataValidations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000"/>
  <sheetViews>
    <sheetView showGridLines="0" workbookViewId="0">
      <pane ySplit="4" topLeftCell="A5" activePane="bottomLeft" state="frozen"/>
      <selection pane="bottomLeft" activeCell="B6" sqref="B6"/>
    </sheetView>
  </sheetViews>
  <sheetFormatPr defaultColWidth="14.42578125" defaultRowHeight="15" customHeight="1"/>
  <cols>
    <col min="1" max="1" width="10" customWidth="1"/>
    <col min="2" max="2" width="42" customWidth="1"/>
    <col min="3" max="3" width="24" customWidth="1"/>
    <col min="4" max="4" width="13" customWidth="1"/>
    <col min="5" max="6" width="10" customWidth="1"/>
    <col min="7" max="7" width="14" customWidth="1"/>
    <col min="8" max="8" width="36" customWidth="1"/>
    <col min="9" max="9" width="18" customWidth="1"/>
    <col min="10" max="26" width="8.7109375" customWidth="1"/>
  </cols>
  <sheetData>
    <row r="1" spans="1:9" ht="31.5" customHeight="1">
      <c r="A1" s="130" t="s">
        <v>457</v>
      </c>
      <c r="B1" s="119"/>
      <c r="C1" s="119"/>
      <c r="D1" s="119"/>
      <c r="E1" s="119"/>
      <c r="F1" s="119"/>
      <c r="G1" s="119"/>
      <c r="H1" s="119"/>
      <c r="I1" s="120"/>
    </row>
    <row r="2" spans="1:9" ht="15.75" customHeight="1">
      <c r="A2" s="131" t="s">
        <v>37</v>
      </c>
      <c r="B2" s="119"/>
      <c r="C2" s="119"/>
      <c r="D2" s="119"/>
      <c r="E2" s="119"/>
      <c r="F2" s="119"/>
      <c r="G2" s="119"/>
      <c r="H2" s="119"/>
      <c r="I2" s="120"/>
    </row>
    <row r="3" spans="1:9" ht="6" customHeight="1"/>
    <row r="4" spans="1:9" ht="21.75" customHeight="1">
      <c r="A4" s="36" t="s">
        <v>38</v>
      </c>
      <c r="B4" s="36" t="s">
        <v>39</v>
      </c>
      <c r="C4" s="36" t="s">
        <v>40</v>
      </c>
      <c r="D4" s="36" t="s">
        <v>41</v>
      </c>
      <c r="E4" s="36" t="s">
        <v>42</v>
      </c>
      <c r="F4" s="36" t="s">
        <v>43</v>
      </c>
      <c r="G4" s="36" t="s">
        <v>44</v>
      </c>
      <c r="H4" s="36" t="s">
        <v>45</v>
      </c>
      <c r="I4" s="36" t="s">
        <v>46</v>
      </c>
    </row>
    <row r="5" spans="1:9" ht="21.75" customHeight="1">
      <c r="A5" s="128" t="s">
        <v>458</v>
      </c>
      <c r="B5" s="109"/>
      <c r="C5" s="109"/>
      <c r="D5" s="109"/>
      <c r="E5" s="109"/>
      <c r="F5" s="109"/>
      <c r="G5" s="109"/>
      <c r="H5" s="109"/>
      <c r="I5" s="110"/>
    </row>
    <row r="6" spans="1:9" ht="19.5" customHeight="1">
      <c r="A6" s="43" t="s">
        <v>459</v>
      </c>
      <c r="B6" s="44" t="s">
        <v>460</v>
      </c>
      <c r="C6" s="45" t="s">
        <v>461</v>
      </c>
      <c r="D6" s="43" t="s">
        <v>24</v>
      </c>
      <c r="E6" s="46" t="str">
        <f t="shared" ref="E6:E20" si="0">IF(G6="Pass","✅","")</f>
        <v>✅</v>
      </c>
      <c r="F6" s="46" t="str">
        <f t="shared" ref="F6:F20" si="1">IF(G6="Fail","❌","")</f>
        <v/>
      </c>
      <c r="G6" s="47" t="s">
        <v>42</v>
      </c>
      <c r="H6" s="44"/>
      <c r="I6" s="42" t="s">
        <v>51</v>
      </c>
    </row>
    <row r="7" spans="1:9" ht="19.5" customHeight="1">
      <c r="A7" s="43" t="s">
        <v>462</v>
      </c>
      <c r="B7" s="44" t="s">
        <v>463</v>
      </c>
      <c r="C7" s="45" t="s">
        <v>54</v>
      </c>
      <c r="D7" s="43" t="s">
        <v>24</v>
      </c>
      <c r="E7" s="46" t="str">
        <f t="shared" si="0"/>
        <v>✅</v>
      </c>
      <c r="F7" s="46" t="str">
        <f t="shared" si="1"/>
        <v/>
      </c>
      <c r="G7" s="47" t="s">
        <v>42</v>
      </c>
      <c r="H7" s="44"/>
      <c r="I7" s="42" t="s">
        <v>51</v>
      </c>
    </row>
    <row r="8" spans="1:9" ht="19.5" customHeight="1">
      <c r="A8" s="48" t="s">
        <v>464</v>
      </c>
      <c r="B8" s="49" t="s">
        <v>465</v>
      </c>
      <c r="C8" s="50" t="s">
        <v>139</v>
      </c>
      <c r="D8" s="48" t="s">
        <v>27</v>
      </c>
      <c r="E8" s="51" t="str">
        <f t="shared" si="0"/>
        <v>✅</v>
      </c>
      <c r="F8" s="51" t="str">
        <f t="shared" si="1"/>
        <v/>
      </c>
      <c r="G8" s="52" t="s">
        <v>42</v>
      </c>
      <c r="H8" s="49"/>
      <c r="I8" s="42" t="s">
        <v>51</v>
      </c>
    </row>
    <row r="9" spans="1:9" ht="19.5" customHeight="1">
      <c r="A9" s="48" t="s">
        <v>466</v>
      </c>
      <c r="B9" s="49" t="s">
        <v>467</v>
      </c>
      <c r="C9" s="50" t="s">
        <v>253</v>
      </c>
      <c r="D9" s="48" t="s">
        <v>27</v>
      </c>
      <c r="E9" s="51" t="str">
        <f t="shared" si="0"/>
        <v>✅</v>
      </c>
      <c r="F9" s="51" t="str">
        <f t="shared" si="1"/>
        <v/>
      </c>
      <c r="G9" s="52" t="s">
        <v>42</v>
      </c>
      <c r="H9" s="49"/>
      <c r="I9" s="42" t="s">
        <v>51</v>
      </c>
    </row>
    <row r="10" spans="1:9" ht="19.5" customHeight="1">
      <c r="A10" s="48" t="s">
        <v>468</v>
      </c>
      <c r="B10" s="49" t="s">
        <v>469</v>
      </c>
      <c r="C10" s="50" t="s">
        <v>470</v>
      </c>
      <c r="D10" s="48" t="s">
        <v>27</v>
      </c>
      <c r="E10" s="51" t="str">
        <f t="shared" si="0"/>
        <v>✅</v>
      </c>
      <c r="F10" s="51" t="str">
        <f t="shared" si="1"/>
        <v/>
      </c>
      <c r="G10" s="52" t="s">
        <v>42</v>
      </c>
      <c r="H10" s="49"/>
      <c r="I10" s="42" t="s">
        <v>51</v>
      </c>
    </row>
    <row r="11" spans="1:9" ht="19.5" customHeight="1">
      <c r="A11" s="48" t="s">
        <v>471</v>
      </c>
      <c r="B11" s="49" t="s">
        <v>472</v>
      </c>
      <c r="C11" s="50" t="s">
        <v>83</v>
      </c>
      <c r="D11" s="48" t="s">
        <v>27</v>
      </c>
      <c r="E11" s="51" t="str">
        <f t="shared" si="0"/>
        <v>✅</v>
      </c>
      <c r="F11" s="51" t="str">
        <f t="shared" si="1"/>
        <v/>
      </c>
      <c r="G11" s="52" t="s">
        <v>42</v>
      </c>
      <c r="H11" s="49"/>
      <c r="I11" s="42" t="s">
        <v>51</v>
      </c>
    </row>
    <row r="12" spans="1:9" ht="19.5" customHeight="1">
      <c r="A12" s="43" t="s">
        <v>473</v>
      </c>
      <c r="B12" s="44" t="s">
        <v>474</v>
      </c>
      <c r="C12" s="45" t="s">
        <v>54</v>
      </c>
      <c r="D12" s="43" t="s">
        <v>24</v>
      </c>
      <c r="E12" s="46" t="str">
        <f t="shared" si="0"/>
        <v>✅</v>
      </c>
      <c r="F12" s="46" t="str">
        <f t="shared" si="1"/>
        <v/>
      </c>
      <c r="G12" s="47" t="s">
        <v>42</v>
      </c>
      <c r="H12" s="44"/>
      <c r="I12" s="42" t="s">
        <v>51</v>
      </c>
    </row>
    <row r="13" spans="1:9" ht="19.5" customHeight="1">
      <c r="A13" s="48" t="s">
        <v>475</v>
      </c>
      <c r="B13" s="49" t="s">
        <v>476</v>
      </c>
      <c r="C13" s="50" t="s">
        <v>142</v>
      </c>
      <c r="D13" s="48" t="s">
        <v>27</v>
      </c>
      <c r="E13" s="51" t="str">
        <f t="shared" si="0"/>
        <v>✅</v>
      </c>
      <c r="F13" s="51" t="str">
        <f t="shared" si="1"/>
        <v/>
      </c>
      <c r="G13" s="52" t="s">
        <v>42</v>
      </c>
      <c r="H13" s="49"/>
      <c r="I13" s="42" t="s">
        <v>51</v>
      </c>
    </row>
    <row r="14" spans="1:9" ht="39.75" customHeight="1">
      <c r="A14" s="43" t="s">
        <v>477</v>
      </c>
      <c r="B14" s="44" t="s">
        <v>478</v>
      </c>
      <c r="C14" s="45" t="s">
        <v>99</v>
      </c>
      <c r="D14" s="43" t="s">
        <v>24</v>
      </c>
      <c r="E14" s="46" t="str">
        <f t="shared" si="0"/>
        <v/>
      </c>
      <c r="F14" s="46" t="str">
        <f t="shared" si="1"/>
        <v>❌</v>
      </c>
      <c r="G14" s="47" t="s">
        <v>43</v>
      </c>
      <c r="H14" s="79" t="s">
        <v>479</v>
      </c>
      <c r="I14" s="42" t="s">
        <v>51</v>
      </c>
    </row>
    <row r="15" spans="1:9" ht="19.5" customHeight="1">
      <c r="A15" s="43" t="s">
        <v>480</v>
      </c>
      <c r="B15" s="44" t="s">
        <v>481</v>
      </c>
      <c r="C15" s="45" t="s">
        <v>456</v>
      </c>
      <c r="D15" s="43" t="s">
        <v>24</v>
      </c>
      <c r="E15" s="46" t="str">
        <f t="shared" si="0"/>
        <v>✅</v>
      </c>
      <c r="F15" s="46" t="str">
        <f t="shared" si="1"/>
        <v/>
      </c>
      <c r="G15" s="47" t="s">
        <v>42</v>
      </c>
      <c r="H15" s="44"/>
      <c r="I15" s="42" t="s">
        <v>51</v>
      </c>
    </row>
    <row r="16" spans="1:9" ht="26.25" customHeight="1">
      <c r="A16" s="48" t="s">
        <v>482</v>
      </c>
      <c r="B16" s="49" t="s">
        <v>483</v>
      </c>
      <c r="C16" s="50" t="s">
        <v>215</v>
      </c>
      <c r="D16" s="48" t="s">
        <v>27</v>
      </c>
      <c r="E16" s="51" t="str">
        <f t="shared" si="0"/>
        <v>✅</v>
      </c>
      <c r="F16" s="51" t="str">
        <f t="shared" si="1"/>
        <v/>
      </c>
      <c r="G16" s="52" t="s">
        <v>42</v>
      </c>
      <c r="H16" s="59" t="s">
        <v>484</v>
      </c>
      <c r="I16" s="42" t="s">
        <v>51</v>
      </c>
    </row>
    <row r="17" spans="1:9" ht="19.5" customHeight="1">
      <c r="A17" s="48" t="s">
        <v>485</v>
      </c>
      <c r="B17" s="49" t="s">
        <v>486</v>
      </c>
      <c r="C17" s="50" t="s">
        <v>72</v>
      </c>
      <c r="D17" s="48" t="s">
        <v>27</v>
      </c>
      <c r="E17" s="51" t="str">
        <f t="shared" si="0"/>
        <v>✅</v>
      </c>
      <c r="F17" s="51" t="str">
        <f t="shared" si="1"/>
        <v/>
      </c>
      <c r="G17" s="52" t="s">
        <v>42</v>
      </c>
      <c r="H17" s="49"/>
      <c r="I17" s="42" t="s">
        <v>51</v>
      </c>
    </row>
    <row r="18" spans="1:9" ht="19.5" customHeight="1">
      <c r="A18" s="37" t="s">
        <v>487</v>
      </c>
      <c r="B18" s="38" t="s">
        <v>488</v>
      </c>
      <c r="C18" s="39" t="s">
        <v>203</v>
      </c>
      <c r="D18" s="37" t="s">
        <v>30</v>
      </c>
      <c r="E18" s="40" t="str">
        <f t="shared" si="0"/>
        <v>✅</v>
      </c>
      <c r="F18" s="40" t="str">
        <f t="shared" si="1"/>
        <v/>
      </c>
      <c r="G18" s="41" t="s">
        <v>42</v>
      </c>
      <c r="H18" s="38"/>
      <c r="I18" s="42" t="s">
        <v>51</v>
      </c>
    </row>
    <row r="19" spans="1:9" ht="19.5" customHeight="1">
      <c r="A19" s="43" t="s">
        <v>489</v>
      </c>
      <c r="B19" s="44" t="s">
        <v>490</v>
      </c>
      <c r="C19" s="45" t="s">
        <v>491</v>
      </c>
      <c r="D19" s="43" t="s">
        <v>24</v>
      </c>
      <c r="E19" s="46" t="str">
        <f t="shared" si="0"/>
        <v>✅</v>
      </c>
      <c r="F19" s="46" t="str">
        <f t="shared" si="1"/>
        <v/>
      </c>
      <c r="G19" s="47" t="s">
        <v>42</v>
      </c>
      <c r="H19" s="44"/>
      <c r="I19" s="42" t="s">
        <v>51</v>
      </c>
    </row>
    <row r="20" spans="1:9" ht="19.5" customHeight="1">
      <c r="A20" s="43" t="s">
        <v>492</v>
      </c>
      <c r="B20" s="44" t="s">
        <v>493</v>
      </c>
      <c r="C20" s="45" t="s">
        <v>54</v>
      </c>
      <c r="D20" s="43" t="s">
        <v>24</v>
      </c>
      <c r="E20" s="46" t="str">
        <f t="shared" si="0"/>
        <v/>
      </c>
      <c r="F20" s="46" t="str">
        <f t="shared" si="1"/>
        <v>❌</v>
      </c>
      <c r="G20" s="47" t="s">
        <v>43</v>
      </c>
      <c r="H20" s="79" t="s">
        <v>494</v>
      </c>
      <c r="I20" s="42" t="s">
        <v>51</v>
      </c>
    </row>
    <row r="21" spans="1:9" ht="21.75" customHeight="1">
      <c r="A21" s="128" t="s">
        <v>495</v>
      </c>
      <c r="B21" s="109"/>
      <c r="C21" s="109"/>
      <c r="D21" s="109"/>
      <c r="E21" s="109"/>
      <c r="F21" s="109"/>
      <c r="G21" s="109"/>
      <c r="H21" s="109"/>
      <c r="I21" s="110"/>
    </row>
    <row r="22" spans="1:9" ht="19.5" customHeight="1">
      <c r="A22" s="48" t="s">
        <v>496</v>
      </c>
      <c r="B22" s="49" t="s">
        <v>460</v>
      </c>
      <c r="C22" s="50" t="s">
        <v>497</v>
      </c>
      <c r="D22" s="48" t="s">
        <v>27</v>
      </c>
      <c r="E22" s="51" t="str">
        <f t="shared" ref="E22:E31" si="2">IF(G22="Pass","✅","")</f>
        <v>✅</v>
      </c>
      <c r="F22" s="51" t="str">
        <f t="shared" ref="F22:F31" si="3">IF(G22="Fail","❌","")</f>
        <v/>
      </c>
      <c r="G22" s="52" t="s">
        <v>42</v>
      </c>
      <c r="H22" s="49"/>
      <c r="I22" s="42" t="s">
        <v>51</v>
      </c>
    </row>
    <row r="23" spans="1:9" ht="19.5" customHeight="1">
      <c r="A23" s="48" t="s">
        <v>498</v>
      </c>
      <c r="B23" s="49" t="s">
        <v>499</v>
      </c>
      <c r="C23" s="50" t="s">
        <v>54</v>
      </c>
      <c r="D23" s="48" t="s">
        <v>27</v>
      </c>
      <c r="E23" s="51" t="str">
        <f t="shared" si="2"/>
        <v>✅</v>
      </c>
      <c r="F23" s="51" t="str">
        <f t="shared" si="3"/>
        <v/>
      </c>
      <c r="G23" s="52" t="s">
        <v>42</v>
      </c>
      <c r="H23" s="49"/>
      <c r="I23" s="42" t="s">
        <v>51</v>
      </c>
    </row>
    <row r="24" spans="1:9" ht="25.5" customHeight="1">
      <c r="A24" s="48" t="s">
        <v>500</v>
      </c>
      <c r="B24" s="49" t="s">
        <v>501</v>
      </c>
      <c r="C24" s="50" t="s">
        <v>139</v>
      </c>
      <c r="D24" s="48" t="s">
        <v>27</v>
      </c>
      <c r="E24" s="51" t="str">
        <f t="shared" si="2"/>
        <v/>
      </c>
      <c r="F24" s="51" t="str">
        <f t="shared" si="3"/>
        <v>❌</v>
      </c>
      <c r="G24" s="52" t="s">
        <v>43</v>
      </c>
      <c r="H24" s="59" t="s">
        <v>502</v>
      </c>
      <c r="I24" s="42" t="s">
        <v>51</v>
      </c>
    </row>
    <row r="25" spans="1:9" ht="31.5" customHeight="1">
      <c r="A25" s="37" t="s">
        <v>503</v>
      </c>
      <c r="B25" s="38" t="s">
        <v>504</v>
      </c>
      <c r="C25" s="39" t="s">
        <v>253</v>
      </c>
      <c r="D25" s="37" t="s">
        <v>30</v>
      </c>
      <c r="E25" s="40" t="str">
        <f t="shared" si="2"/>
        <v/>
      </c>
      <c r="F25" s="40" t="str">
        <f t="shared" si="3"/>
        <v>❌</v>
      </c>
      <c r="G25" s="41" t="s">
        <v>43</v>
      </c>
      <c r="H25" s="58" t="s">
        <v>505</v>
      </c>
      <c r="I25" s="42" t="s">
        <v>51</v>
      </c>
    </row>
    <row r="26" spans="1:9" ht="19.5" customHeight="1">
      <c r="A26" s="48" t="s">
        <v>506</v>
      </c>
      <c r="B26" s="49" t="s">
        <v>507</v>
      </c>
      <c r="C26" s="50" t="s">
        <v>470</v>
      </c>
      <c r="D26" s="48" t="s">
        <v>27</v>
      </c>
      <c r="E26" s="51" t="str">
        <f t="shared" si="2"/>
        <v>✅</v>
      </c>
      <c r="F26" s="51" t="str">
        <f t="shared" si="3"/>
        <v/>
      </c>
      <c r="G26" s="52" t="s">
        <v>42</v>
      </c>
      <c r="H26" s="49"/>
      <c r="I26" s="42" t="s">
        <v>51</v>
      </c>
    </row>
    <row r="27" spans="1:9" ht="19.5" customHeight="1">
      <c r="A27" s="48" t="s">
        <v>508</v>
      </c>
      <c r="B27" s="49" t="s">
        <v>509</v>
      </c>
      <c r="C27" s="50" t="s">
        <v>69</v>
      </c>
      <c r="D27" s="48" t="s">
        <v>27</v>
      </c>
      <c r="E27" s="51" t="str">
        <f t="shared" si="2"/>
        <v>✅</v>
      </c>
      <c r="F27" s="51" t="str">
        <f t="shared" si="3"/>
        <v/>
      </c>
      <c r="G27" s="52" t="s">
        <v>42</v>
      </c>
      <c r="H27" s="49"/>
      <c r="I27" s="42" t="s">
        <v>51</v>
      </c>
    </row>
    <row r="28" spans="1:9" ht="19.5" customHeight="1">
      <c r="A28" s="48" t="s">
        <v>510</v>
      </c>
      <c r="B28" s="49" t="s">
        <v>511</v>
      </c>
      <c r="C28" s="50" t="s">
        <v>512</v>
      </c>
      <c r="D28" s="48" t="s">
        <v>27</v>
      </c>
      <c r="E28" s="51" t="str">
        <f t="shared" si="2"/>
        <v>✅</v>
      </c>
      <c r="F28" s="51" t="str">
        <f t="shared" si="3"/>
        <v/>
      </c>
      <c r="G28" s="52" t="s">
        <v>42</v>
      </c>
      <c r="H28" s="49"/>
      <c r="I28" s="42" t="s">
        <v>51</v>
      </c>
    </row>
    <row r="29" spans="1:9" ht="19.5" customHeight="1">
      <c r="A29" s="37" t="s">
        <v>513</v>
      </c>
      <c r="B29" s="38" t="s">
        <v>514</v>
      </c>
      <c r="C29" s="39" t="s">
        <v>142</v>
      </c>
      <c r="D29" s="37" t="s">
        <v>30</v>
      </c>
      <c r="E29" s="40" t="str">
        <f t="shared" si="2"/>
        <v>✅</v>
      </c>
      <c r="F29" s="40" t="str">
        <f t="shared" si="3"/>
        <v/>
      </c>
      <c r="G29" s="41" t="s">
        <v>42</v>
      </c>
      <c r="H29" s="38"/>
      <c r="I29" s="42" t="s">
        <v>51</v>
      </c>
    </row>
    <row r="30" spans="1:9" ht="19.5" customHeight="1">
      <c r="A30" s="37" t="s">
        <v>515</v>
      </c>
      <c r="B30" s="38" t="s">
        <v>516</v>
      </c>
      <c r="C30" s="39" t="s">
        <v>72</v>
      </c>
      <c r="D30" s="37" t="s">
        <v>30</v>
      </c>
      <c r="E30" s="40" t="str">
        <f t="shared" si="2"/>
        <v>✅</v>
      </c>
      <c r="F30" s="40" t="str">
        <f t="shared" si="3"/>
        <v/>
      </c>
      <c r="G30" s="41" t="s">
        <v>42</v>
      </c>
      <c r="H30" s="38"/>
      <c r="I30" s="42" t="s">
        <v>51</v>
      </c>
    </row>
    <row r="31" spans="1:9" ht="28.5" customHeight="1">
      <c r="A31" s="37" t="s">
        <v>517</v>
      </c>
      <c r="B31" s="38" t="s">
        <v>518</v>
      </c>
      <c r="C31" s="39" t="s">
        <v>203</v>
      </c>
      <c r="D31" s="37" t="s">
        <v>30</v>
      </c>
      <c r="E31" s="40" t="str">
        <f t="shared" si="2"/>
        <v/>
      </c>
      <c r="F31" s="40" t="str">
        <f t="shared" si="3"/>
        <v>❌</v>
      </c>
      <c r="G31" s="41" t="s">
        <v>43</v>
      </c>
      <c r="H31" s="58" t="s">
        <v>519</v>
      </c>
      <c r="I31" s="42" t="s">
        <v>51</v>
      </c>
    </row>
    <row r="32" spans="1:9" ht="21.75" customHeight="1">
      <c r="A32" s="128" t="s">
        <v>520</v>
      </c>
      <c r="B32" s="109"/>
      <c r="C32" s="109"/>
      <c r="D32" s="109"/>
      <c r="E32" s="109"/>
      <c r="F32" s="109"/>
      <c r="G32" s="109"/>
      <c r="H32" s="109"/>
      <c r="I32" s="110"/>
    </row>
    <row r="33" spans="1:9" ht="19.5" customHeight="1">
      <c r="A33" s="48" t="s">
        <v>521</v>
      </c>
      <c r="B33" s="49" t="s">
        <v>522</v>
      </c>
      <c r="C33" s="50" t="s">
        <v>523</v>
      </c>
      <c r="D33" s="48" t="s">
        <v>27</v>
      </c>
      <c r="E33" s="51" t="str">
        <f t="shared" ref="E33:E44" si="4">IF(G33="Pass","✅","")</f>
        <v>✅</v>
      </c>
      <c r="F33" s="51" t="str">
        <f t="shared" ref="F33:F44" si="5">IF(G33="Fail","❌","")</f>
        <v/>
      </c>
      <c r="G33" s="52" t="s">
        <v>42</v>
      </c>
      <c r="H33" s="49"/>
      <c r="I33" s="42" t="s">
        <v>51</v>
      </c>
    </row>
    <row r="34" spans="1:9" ht="19.5" customHeight="1">
      <c r="A34" s="48" t="s">
        <v>524</v>
      </c>
      <c r="B34" s="49" t="s">
        <v>525</v>
      </c>
      <c r="C34" s="50" t="s">
        <v>54</v>
      </c>
      <c r="D34" s="48" t="s">
        <v>27</v>
      </c>
      <c r="E34" s="51" t="str">
        <f t="shared" si="4"/>
        <v>✅</v>
      </c>
      <c r="F34" s="51" t="str">
        <f t="shared" si="5"/>
        <v/>
      </c>
      <c r="G34" s="52" t="s">
        <v>42</v>
      </c>
      <c r="H34" s="49"/>
      <c r="I34" s="42" t="s">
        <v>51</v>
      </c>
    </row>
    <row r="35" spans="1:9" ht="19.5" customHeight="1">
      <c r="A35" s="48" t="s">
        <v>526</v>
      </c>
      <c r="B35" s="49" t="s">
        <v>527</v>
      </c>
      <c r="C35" s="50" t="s">
        <v>139</v>
      </c>
      <c r="D35" s="48" t="s">
        <v>27</v>
      </c>
      <c r="E35" s="51" t="str">
        <f t="shared" si="4"/>
        <v>✅</v>
      </c>
      <c r="F35" s="51" t="str">
        <f t="shared" si="5"/>
        <v/>
      </c>
      <c r="G35" s="52" t="s">
        <v>42</v>
      </c>
      <c r="H35" s="49"/>
      <c r="I35" s="42" t="s">
        <v>51</v>
      </c>
    </row>
    <row r="36" spans="1:9" ht="19.5" customHeight="1">
      <c r="A36" s="37" t="s">
        <v>528</v>
      </c>
      <c r="B36" s="38" t="s">
        <v>529</v>
      </c>
      <c r="C36" s="39" t="s">
        <v>253</v>
      </c>
      <c r="D36" s="37" t="s">
        <v>30</v>
      </c>
      <c r="E36" s="40" t="str">
        <f t="shared" si="4"/>
        <v>✅</v>
      </c>
      <c r="F36" s="40" t="str">
        <f t="shared" si="5"/>
        <v/>
      </c>
      <c r="G36" s="41" t="s">
        <v>42</v>
      </c>
      <c r="H36" s="38"/>
      <c r="I36" s="42" t="s">
        <v>51</v>
      </c>
    </row>
    <row r="37" spans="1:9" ht="19.5" customHeight="1">
      <c r="A37" s="48" t="s">
        <v>530</v>
      </c>
      <c r="B37" s="49" t="s">
        <v>531</v>
      </c>
      <c r="C37" s="50" t="s">
        <v>470</v>
      </c>
      <c r="D37" s="48" t="s">
        <v>27</v>
      </c>
      <c r="E37" s="51" t="str">
        <f t="shared" si="4"/>
        <v>✅</v>
      </c>
      <c r="F37" s="51" t="str">
        <f t="shared" si="5"/>
        <v/>
      </c>
      <c r="G37" s="52" t="s">
        <v>42</v>
      </c>
      <c r="H37" s="49"/>
      <c r="I37" s="42" t="s">
        <v>51</v>
      </c>
    </row>
    <row r="38" spans="1:9" ht="19.5" customHeight="1">
      <c r="A38" s="48" t="s">
        <v>532</v>
      </c>
      <c r="B38" s="49" t="s">
        <v>533</v>
      </c>
      <c r="C38" s="50" t="s">
        <v>69</v>
      </c>
      <c r="D38" s="48" t="s">
        <v>27</v>
      </c>
      <c r="E38" s="51" t="str">
        <f t="shared" si="4"/>
        <v>✅</v>
      </c>
      <c r="F38" s="51" t="str">
        <f t="shared" si="5"/>
        <v/>
      </c>
      <c r="G38" s="52" t="s">
        <v>42</v>
      </c>
      <c r="H38" s="49"/>
      <c r="I38" s="42" t="s">
        <v>51</v>
      </c>
    </row>
    <row r="39" spans="1:9" ht="19.5" customHeight="1">
      <c r="A39" s="48" t="s">
        <v>534</v>
      </c>
      <c r="B39" s="49" t="s">
        <v>535</v>
      </c>
      <c r="C39" s="50" t="s">
        <v>512</v>
      </c>
      <c r="D39" s="48" t="s">
        <v>27</v>
      </c>
      <c r="E39" s="51" t="str">
        <f t="shared" si="4"/>
        <v>✅</v>
      </c>
      <c r="F39" s="51" t="str">
        <f t="shared" si="5"/>
        <v/>
      </c>
      <c r="G39" s="52" t="s">
        <v>42</v>
      </c>
      <c r="H39" s="49"/>
      <c r="I39" s="42" t="s">
        <v>51</v>
      </c>
    </row>
    <row r="40" spans="1:9" ht="19.5" customHeight="1">
      <c r="A40" s="37" t="s">
        <v>536</v>
      </c>
      <c r="B40" s="38" t="s">
        <v>537</v>
      </c>
      <c r="C40" s="39" t="s">
        <v>142</v>
      </c>
      <c r="D40" s="37" t="s">
        <v>30</v>
      </c>
      <c r="E40" s="40" t="str">
        <f t="shared" si="4"/>
        <v>✅</v>
      </c>
      <c r="F40" s="40" t="str">
        <f t="shared" si="5"/>
        <v/>
      </c>
      <c r="G40" s="41" t="s">
        <v>42</v>
      </c>
      <c r="H40" s="38"/>
      <c r="I40" s="42" t="s">
        <v>51</v>
      </c>
    </row>
    <row r="41" spans="1:9" ht="19.5" customHeight="1">
      <c r="A41" s="37" t="s">
        <v>538</v>
      </c>
      <c r="B41" s="38" t="s">
        <v>539</v>
      </c>
      <c r="C41" s="39" t="s">
        <v>72</v>
      </c>
      <c r="D41" s="37" t="s">
        <v>30</v>
      </c>
      <c r="E41" s="40" t="str">
        <f t="shared" si="4"/>
        <v>✅</v>
      </c>
      <c r="F41" s="40" t="str">
        <f t="shared" si="5"/>
        <v/>
      </c>
      <c r="G41" s="41" t="s">
        <v>42</v>
      </c>
      <c r="H41" s="38"/>
      <c r="I41" s="42" t="s">
        <v>51</v>
      </c>
    </row>
    <row r="42" spans="1:9" ht="19.5" customHeight="1">
      <c r="A42" s="37" t="s">
        <v>540</v>
      </c>
      <c r="B42" s="38" t="s">
        <v>541</v>
      </c>
      <c r="C42" s="39" t="s">
        <v>203</v>
      </c>
      <c r="D42" s="37" t="s">
        <v>30</v>
      </c>
      <c r="E42" s="40" t="str">
        <f t="shared" si="4"/>
        <v>✅</v>
      </c>
      <c r="F42" s="40" t="str">
        <f t="shared" si="5"/>
        <v/>
      </c>
      <c r="G42" s="41" t="s">
        <v>42</v>
      </c>
      <c r="H42" s="38"/>
      <c r="I42" s="42" t="s">
        <v>51</v>
      </c>
    </row>
    <row r="43" spans="1:9" ht="19.5" customHeight="1">
      <c r="A43" s="48" t="s">
        <v>542</v>
      </c>
      <c r="B43" s="49" t="s">
        <v>543</v>
      </c>
      <c r="C43" s="50" t="s">
        <v>544</v>
      </c>
      <c r="D43" s="48" t="s">
        <v>27</v>
      </c>
      <c r="E43" s="51" t="str">
        <f t="shared" si="4"/>
        <v>✅</v>
      </c>
      <c r="F43" s="51" t="str">
        <f t="shared" si="5"/>
        <v/>
      </c>
      <c r="G43" s="52" t="s">
        <v>42</v>
      </c>
      <c r="H43" s="49"/>
      <c r="I43" s="42" t="s">
        <v>51</v>
      </c>
    </row>
    <row r="44" spans="1:9" ht="19.5" customHeight="1">
      <c r="A44" s="37" t="s">
        <v>545</v>
      </c>
      <c r="B44" s="38" t="s">
        <v>546</v>
      </c>
      <c r="C44" s="39" t="s">
        <v>54</v>
      </c>
      <c r="D44" s="37" t="s">
        <v>30</v>
      </c>
      <c r="E44" s="40" t="str">
        <f t="shared" si="4"/>
        <v>✅</v>
      </c>
      <c r="F44" s="40" t="str">
        <f t="shared" si="5"/>
        <v/>
      </c>
      <c r="G44" s="41" t="s">
        <v>42</v>
      </c>
      <c r="H44" s="38"/>
      <c r="I44" s="42" t="s">
        <v>51</v>
      </c>
    </row>
    <row r="45" spans="1:9" ht="21.75" customHeight="1">
      <c r="A45" s="128" t="s">
        <v>547</v>
      </c>
      <c r="B45" s="109"/>
      <c r="C45" s="109"/>
      <c r="D45" s="109"/>
      <c r="E45" s="109"/>
      <c r="F45" s="109"/>
      <c r="G45" s="109"/>
      <c r="H45" s="109"/>
      <c r="I45" s="110"/>
    </row>
    <row r="46" spans="1:9" ht="19.5" customHeight="1">
      <c r="A46" s="48" t="s">
        <v>548</v>
      </c>
      <c r="B46" s="49" t="s">
        <v>549</v>
      </c>
      <c r="C46" s="50" t="s">
        <v>550</v>
      </c>
      <c r="D46" s="48" t="s">
        <v>27</v>
      </c>
      <c r="E46" s="51" t="str">
        <f t="shared" ref="E46:E50" si="6">IF(G46="Pass","✅","")</f>
        <v>✅</v>
      </c>
      <c r="F46" s="51" t="str">
        <f t="shared" ref="F46:F50" si="7">IF(G46="Fail","❌","")</f>
        <v/>
      </c>
      <c r="G46" s="52" t="s">
        <v>42</v>
      </c>
      <c r="H46" s="49"/>
      <c r="I46" s="42" t="s">
        <v>51</v>
      </c>
    </row>
    <row r="47" spans="1:9" ht="28.5" customHeight="1">
      <c r="A47" s="48" t="s">
        <v>551</v>
      </c>
      <c r="B47" s="49" t="s">
        <v>552</v>
      </c>
      <c r="C47" s="50" t="s">
        <v>550</v>
      </c>
      <c r="D47" s="48" t="s">
        <v>27</v>
      </c>
      <c r="E47" s="51" t="str">
        <f t="shared" si="6"/>
        <v/>
      </c>
      <c r="F47" s="51" t="str">
        <f t="shared" si="7"/>
        <v>❌</v>
      </c>
      <c r="G47" s="52" t="s">
        <v>43</v>
      </c>
      <c r="H47" s="59" t="s">
        <v>553</v>
      </c>
      <c r="I47" s="42" t="s">
        <v>51</v>
      </c>
    </row>
    <row r="48" spans="1:9" ht="19.5" customHeight="1">
      <c r="A48" s="37" t="s">
        <v>554</v>
      </c>
      <c r="B48" s="38" t="s">
        <v>555</v>
      </c>
      <c r="C48" s="39" t="s">
        <v>556</v>
      </c>
      <c r="D48" s="37" t="s">
        <v>30</v>
      </c>
      <c r="E48" s="40" t="str">
        <f t="shared" si="6"/>
        <v>✅</v>
      </c>
      <c r="F48" s="40" t="str">
        <f t="shared" si="7"/>
        <v/>
      </c>
      <c r="G48" s="41" t="s">
        <v>42</v>
      </c>
      <c r="H48" s="38"/>
      <c r="I48" s="42" t="s">
        <v>51</v>
      </c>
    </row>
    <row r="49" spans="1:9" ht="19.5" customHeight="1">
      <c r="A49" s="37" t="s">
        <v>557</v>
      </c>
      <c r="B49" s="38" t="s">
        <v>558</v>
      </c>
      <c r="C49" s="39" t="s">
        <v>556</v>
      </c>
      <c r="D49" s="37" t="s">
        <v>30</v>
      </c>
      <c r="E49" s="40" t="str">
        <f t="shared" si="6"/>
        <v>✅</v>
      </c>
      <c r="F49" s="40" t="str">
        <f t="shared" si="7"/>
        <v/>
      </c>
      <c r="G49" s="41" t="s">
        <v>42</v>
      </c>
      <c r="H49" s="38"/>
      <c r="I49" s="42" t="s">
        <v>51</v>
      </c>
    </row>
    <row r="50" spans="1:9" ht="29.25" customHeight="1">
      <c r="A50" s="48" t="s">
        <v>559</v>
      </c>
      <c r="B50" s="49" t="s">
        <v>560</v>
      </c>
      <c r="C50" s="50" t="s">
        <v>561</v>
      </c>
      <c r="D50" s="48" t="s">
        <v>27</v>
      </c>
      <c r="E50" s="51" t="str">
        <f t="shared" si="6"/>
        <v/>
      </c>
      <c r="F50" s="51" t="str">
        <f t="shared" si="7"/>
        <v>❌</v>
      </c>
      <c r="G50" s="52" t="s">
        <v>43</v>
      </c>
      <c r="H50" s="59" t="s">
        <v>562</v>
      </c>
      <c r="I50" s="42" t="s">
        <v>51</v>
      </c>
    </row>
    <row r="51" spans="1:9" ht="15.75" customHeight="1">
      <c r="G51" s="60"/>
    </row>
    <row r="52" spans="1:9" ht="21.75" customHeight="1">
      <c r="A52" s="129" t="s">
        <v>191</v>
      </c>
      <c r="B52" s="110"/>
      <c r="C52" s="61" t="s">
        <v>192</v>
      </c>
      <c r="D52" s="61" t="s">
        <v>193</v>
      </c>
      <c r="E52" s="61" t="s">
        <v>194</v>
      </c>
      <c r="F52" s="61" t="s">
        <v>162</v>
      </c>
      <c r="G52" s="61" t="s">
        <v>7</v>
      </c>
    </row>
    <row r="53" spans="1:9" ht="21.75" customHeight="1">
      <c r="C53" s="62">
        <f>COUNTA(G5:G50)</f>
        <v>42</v>
      </c>
      <c r="D53" s="63">
        <f>COUNTIF(G5:G50,"Pass")</f>
        <v>35</v>
      </c>
      <c r="E53" s="64">
        <f>COUNTIF(G5:G50,"Fail")</f>
        <v>7</v>
      </c>
      <c r="F53" s="65">
        <f>COUNTIF(G5:G50,"Not Run")</f>
        <v>0</v>
      </c>
      <c r="G53" s="66">
        <f>IFERROR(COUNTIF(G5:G50,"Pass")/COUNTA(G5:G50),0)</f>
        <v>0.83333333333333337</v>
      </c>
    </row>
    <row r="54" spans="1:9" ht="15.75" customHeight="1"/>
    <row r="55" spans="1:9" ht="15.75" customHeight="1"/>
    <row r="56" spans="1:9" ht="15.75" customHeight="1"/>
    <row r="57" spans="1:9" ht="15.75" customHeight="1"/>
    <row r="58" spans="1:9" ht="15.75" customHeight="1"/>
    <row r="59" spans="1:9" ht="15.75" customHeight="1"/>
    <row r="60" spans="1:9" ht="15.75" customHeight="1"/>
    <row r="61" spans="1:9" ht="15.75" customHeight="1"/>
    <row r="62" spans="1:9" ht="15.75" customHeight="1"/>
    <row r="63" spans="1:9" ht="15.75" customHeight="1"/>
    <row r="64" spans="1:9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45:I45"/>
    <mergeCell ref="A52:B52"/>
    <mergeCell ref="A1:I1"/>
    <mergeCell ref="A2:I2"/>
    <mergeCell ref="A5:I5"/>
    <mergeCell ref="A21:I21"/>
    <mergeCell ref="A32:I32"/>
  </mergeCells>
  <dataValidations count="1">
    <dataValidation type="list" allowBlank="1" sqref="G6:G20 G22:G31 G33:G44 G46:G51">
      <formula1>"Pass,Fail,Not Run,Blocked"</formula1>
    </dataValidation>
  </dataValidations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dimension ref="A1:I1000"/>
  <sheetViews>
    <sheetView showGridLines="0" workbookViewId="0">
      <pane ySplit="4" topLeftCell="A35" activePane="bottomLeft" state="frozen"/>
      <selection pane="bottomLeft" activeCell="B6" sqref="B6"/>
    </sheetView>
  </sheetViews>
  <sheetFormatPr defaultColWidth="14.42578125" defaultRowHeight="15" customHeight="1"/>
  <cols>
    <col min="1" max="1" width="10" customWidth="1"/>
    <col min="2" max="2" width="42" customWidth="1"/>
    <col min="3" max="3" width="24" customWidth="1"/>
    <col min="4" max="4" width="13" customWidth="1"/>
    <col min="5" max="6" width="10" customWidth="1"/>
    <col min="7" max="7" width="14" customWidth="1"/>
    <col min="8" max="8" width="36" customWidth="1"/>
    <col min="9" max="9" width="18" customWidth="1"/>
    <col min="10" max="26" width="8.7109375" customWidth="1"/>
  </cols>
  <sheetData>
    <row r="1" spans="1:9" ht="31.5" customHeight="1">
      <c r="A1" s="130" t="s">
        <v>563</v>
      </c>
      <c r="B1" s="119"/>
      <c r="C1" s="119"/>
      <c r="D1" s="119"/>
      <c r="E1" s="119"/>
      <c r="F1" s="119"/>
      <c r="G1" s="119"/>
      <c r="H1" s="119"/>
      <c r="I1" s="120"/>
    </row>
    <row r="2" spans="1:9" ht="15.75" customHeight="1">
      <c r="A2" s="131" t="s">
        <v>37</v>
      </c>
      <c r="B2" s="119"/>
      <c r="C2" s="119"/>
      <c r="D2" s="119"/>
      <c r="E2" s="119"/>
      <c r="F2" s="119"/>
      <c r="G2" s="119"/>
      <c r="H2" s="119"/>
      <c r="I2" s="120"/>
    </row>
    <row r="3" spans="1:9" ht="6" customHeight="1">
      <c r="H3" s="67"/>
    </row>
    <row r="4" spans="1:9" ht="21.75" customHeight="1">
      <c r="A4" s="36" t="s">
        <v>38</v>
      </c>
      <c r="B4" s="36" t="s">
        <v>39</v>
      </c>
      <c r="C4" s="36" t="s">
        <v>40</v>
      </c>
      <c r="D4" s="36" t="s">
        <v>41</v>
      </c>
      <c r="E4" s="36" t="s">
        <v>42</v>
      </c>
      <c r="F4" s="36" t="s">
        <v>43</v>
      </c>
      <c r="G4" s="36" t="s">
        <v>44</v>
      </c>
      <c r="H4" s="68" t="s">
        <v>45</v>
      </c>
      <c r="I4" s="36" t="s">
        <v>46</v>
      </c>
    </row>
    <row r="5" spans="1:9" ht="21.75" customHeight="1">
      <c r="A5" s="128" t="s">
        <v>564</v>
      </c>
      <c r="B5" s="109"/>
      <c r="C5" s="109"/>
      <c r="D5" s="109"/>
      <c r="E5" s="109"/>
      <c r="F5" s="109"/>
      <c r="G5" s="109"/>
      <c r="H5" s="109"/>
      <c r="I5" s="110"/>
    </row>
    <row r="6" spans="1:9" ht="57" customHeight="1">
      <c r="A6" s="43" t="s">
        <v>565</v>
      </c>
      <c r="B6" s="44" t="s">
        <v>566</v>
      </c>
      <c r="C6" s="45" t="s">
        <v>567</v>
      </c>
      <c r="D6" s="43" t="s">
        <v>24</v>
      </c>
      <c r="E6" s="46" t="str">
        <f t="shared" ref="E6:E13" si="0">IF(G6="Pass","✅","")</f>
        <v/>
      </c>
      <c r="F6" s="46" t="str">
        <f t="shared" ref="F6:F13" si="1">IF(G6="Fail","❌","")</f>
        <v>❌</v>
      </c>
      <c r="G6" s="47" t="s">
        <v>43</v>
      </c>
      <c r="H6" s="72" t="s">
        <v>568</v>
      </c>
      <c r="I6" s="42" t="s">
        <v>51</v>
      </c>
    </row>
    <row r="7" spans="1:9" ht="48.75" customHeight="1">
      <c r="A7" s="43" t="s">
        <v>569</v>
      </c>
      <c r="B7" s="44" t="s">
        <v>570</v>
      </c>
      <c r="C7" s="45" t="s">
        <v>567</v>
      </c>
      <c r="D7" s="43" t="s">
        <v>24</v>
      </c>
      <c r="E7" s="46" t="str">
        <f t="shared" si="0"/>
        <v/>
      </c>
      <c r="F7" s="46" t="str">
        <f t="shared" si="1"/>
        <v>❌</v>
      </c>
      <c r="G7" s="47" t="s">
        <v>43</v>
      </c>
      <c r="H7" s="72" t="s">
        <v>571</v>
      </c>
      <c r="I7" s="42" t="s">
        <v>51</v>
      </c>
    </row>
    <row r="8" spans="1:9" ht="45" customHeight="1">
      <c r="A8" s="37" t="s">
        <v>572</v>
      </c>
      <c r="B8" s="38" t="s">
        <v>573</v>
      </c>
      <c r="C8" s="39" t="s">
        <v>567</v>
      </c>
      <c r="D8" s="37" t="s">
        <v>30</v>
      </c>
      <c r="E8" s="40" t="str">
        <f t="shared" si="0"/>
        <v/>
      </c>
      <c r="F8" s="40" t="str">
        <f t="shared" si="1"/>
        <v>❌</v>
      </c>
      <c r="G8" s="41" t="s">
        <v>43</v>
      </c>
      <c r="H8" s="73" t="s">
        <v>574</v>
      </c>
      <c r="I8" s="42" t="s">
        <v>51</v>
      </c>
    </row>
    <row r="9" spans="1:9" ht="38.25" customHeight="1">
      <c r="A9" s="43" t="s">
        <v>575</v>
      </c>
      <c r="B9" s="44" t="s">
        <v>576</v>
      </c>
      <c r="C9" s="45" t="s">
        <v>567</v>
      </c>
      <c r="D9" s="43" t="s">
        <v>24</v>
      </c>
      <c r="E9" s="46" t="str">
        <f t="shared" si="0"/>
        <v>✅</v>
      </c>
      <c r="F9" s="46" t="str">
        <f t="shared" si="1"/>
        <v/>
      </c>
      <c r="G9" s="47" t="s">
        <v>42</v>
      </c>
      <c r="H9" s="72" t="s">
        <v>577</v>
      </c>
      <c r="I9" s="42" t="s">
        <v>51</v>
      </c>
    </row>
    <row r="10" spans="1:9" ht="24.75" customHeight="1">
      <c r="A10" s="43" t="s">
        <v>578</v>
      </c>
      <c r="B10" s="44" t="s">
        <v>579</v>
      </c>
      <c r="C10" s="45" t="s">
        <v>567</v>
      </c>
      <c r="D10" s="43" t="s">
        <v>24</v>
      </c>
      <c r="E10" s="46" t="str">
        <f t="shared" si="0"/>
        <v/>
      </c>
      <c r="F10" s="46" t="str">
        <f t="shared" si="1"/>
        <v>❌</v>
      </c>
      <c r="G10" s="47" t="s">
        <v>43</v>
      </c>
      <c r="H10" s="72" t="s">
        <v>580</v>
      </c>
      <c r="I10" s="42" t="s">
        <v>51</v>
      </c>
    </row>
    <row r="11" spans="1:9" ht="28.5" customHeight="1">
      <c r="A11" s="48" t="s">
        <v>581</v>
      </c>
      <c r="B11" s="49" t="s">
        <v>582</v>
      </c>
      <c r="C11" s="50" t="s">
        <v>567</v>
      </c>
      <c r="D11" s="48" t="s">
        <v>27</v>
      </c>
      <c r="E11" s="51" t="str">
        <f t="shared" si="0"/>
        <v/>
      </c>
      <c r="F11" s="51" t="str">
        <f t="shared" si="1"/>
        <v>❌</v>
      </c>
      <c r="G11" s="52" t="s">
        <v>43</v>
      </c>
      <c r="H11" s="70" t="s">
        <v>583</v>
      </c>
      <c r="I11" s="42" t="s">
        <v>51</v>
      </c>
    </row>
    <row r="12" spans="1:9" ht="41.25" customHeight="1">
      <c r="A12" s="37" t="s">
        <v>584</v>
      </c>
      <c r="B12" s="38" t="s">
        <v>585</v>
      </c>
      <c r="C12" s="39" t="s">
        <v>586</v>
      </c>
      <c r="D12" s="37" t="s">
        <v>30</v>
      </c>
      <c r="E12" s="40" t="str">
        <f t="shared" si="0"/>
        <v/>
      </c>
      <c r="F12" s="40" t="str">
        <f t="shared" si="1"/>
        <v>❌</v>
      </c>
      <c r="G12" s="41" t="s">
        <v>43</v>
      </c>
      <c r="H12" s="73" t="s">
        <v>587</v>
      </c>
      <c r="I12" s="42" t="s">
        <v>51</v>
      </c>
    </row>
    <row r="13" spans="1:9" ht="39" customHeight="1">
      <c r="A13" s="53" t="s">
        <v>588</v>
      </c>
      <c r="B13" s="54" t="s">
        <v>585</v>
      </c>
      <c r="C13" s="55" t="s">
        <v>589</v>
      </c>
      <c r="D13" s="53" t="s">
        <v>33</v>
      </c>
      <c r="E13" s="56" t="str">
        <f t="shared" si="0"/>
        <v/>
      </c>
      <c r="F13" s="56" t="str">
        <f t="shared" si="1"/>
        <v>❌</v>
      </c>
      <c r="G13" s="57" t="s">
        <v>43</v>
      </c>
      <c r="H13" s="80" t="s">
        <v>590</v>
      </c>
      <c r="I13" s="42" t="s">
        <v>51</v>
      </c>
    </row>
    <row r="14" spans="1:9" ht="21.75" customHeight="1">
      <c r="A14" s="128" t="s">
        <v>591</v>
      </c>
      <c r="B14" s="109"/>
      <c r="C14" s="109"/>
      <c r="D14" s="109"/>
      <c r="E14" s="109"/>
      <c r="F14" s="109"/>
      <c r="G14" s="109"/>
      <c r="H14" s="109"/>
      <c r="I14" s="110"/>
    </row>
    <row r="15" spans="1:9" ht="37.5" customHeight="1">
      <c r="A15" s="43" t="s">
        <v>592</v>
      </c>
      <c r="B15" s="44" t="s">
        <v>566</v>
      </c>
      <c r="C15" s="45" t="s">
        <v>593</v>
      </c>
      <c r="D15" s="43" t="s">
        <v>24</v>
      </c>
      <c r="E15" s="46" t="str">
        <f t="shared" ref="E15:E22" si="2">IF(G15="Pass","✅","")</f>
        <v/>
      </c>
      <c r="F15" s="46" t="str">
        <f t="shared" ref="F15:F22" si="3">IF(G15="Fail","❌","")</f>
        <v>❌</v>
      </c>
      <c r="G15" s="47" t="s">
        <v>43</v>
      </c>
      <c r="H15" s="72" t="s">
        <v>594</v>
      </c>
      <c r="I15" s="42" t="s">
        <v>51</v>
      </c>
    </row>
    <row r="16" spans="1:9" ht="36.75" customHeight="1">
      <c r="A16" s="43" t="s">
        <v>595</v>
      </c>
      <c r="B16" s="44" t="s">
        <v>570</v>
      </c>
      <c r="C16" s="45" t="s">
        <v>593</v>
      </c>
      <c r="D16" s="43" t="s">
        <v>24</v>
      </c>
      <c r="E16" s="46" t="str">
        <f t="shared" si="2"/>
        <v/>
      </c>
      <c r="F16" s="46" t="str">
        <f t="shared" si="3"/>
        <v>❌</v>
      </c>
      <c r="G16" s="47" t="s">
        <v>43</v>
      </c>
      <c r="H16" s="72" t="s">
        <v>596</v>
      </c>
      <c r="I16" s="42" t="s">
        <v>51</v>
      </c>
    </row>
    <row r="17" spans="1:9" ht="45" customHeight="1">
      <c r="A17" s="37" t="s">
        <v>597</v>
      </c>
      <c r="B17" s="38" t="s">
        <v>573</v>
      </c>
      <c r="C17" s="39" t="s">
        <v>593</v>
      </c>
      <c r="D17" s="37" t="s">
        <v>30</v>
      </c>
      <c r="E17" s="40" t="str">
        <f t="shared" si="2"/>
        <v/>
      </c>
      <c r="F17" s="40" t="str">
        <f t="shared" si="3"/>
        <v>❌</v>
      </c>
      <c r="G17" s="41" t="s">
        <v>43</v>
      </c>
      <c r="H17" s="73" t="s">
        <v>598</v>
      </c>
      <c r="I17" s="42" t="s">
        <v>51</v>
      </c>
    </row>
    <row r="18" spans="1:9" ht="24" customHeight="1">
      <c r="A18" s="43" t="s">
        <v>599</v>
      </c>
      <c r="B18" s="44" t="s">
        <v>576</v>
      </c>
      <c r="C18" s="45" t="s">
        <v>593</v>
      </c>
      <c r="D18" s="43" t="s">
        <v>24</v>
      </c>
      <c r="E18" s="46" t="str">
        <f t="shared" si="2"/>
        <v>✅</v>
      </c>
      <c r="F18" s="46" t="str">
        <f t="shared" si="3"/>
        <v/>
      </c>
      <c r="G18" s="47" t="s">
        <v>42</v>
      </c>
      <c r="H18" s="72" t="s">
        <v>600</v>
      </c>
      <c r="I18" s="42" t="s">
        <v>51</v>
      </c>
    </row>
    <row r="19" spans="1:9" ht="25.5">
      <c r="A19" s="43" t="s">
        <v>601</v>
      </c>
      <c r="B19" s="44" t="s">
        <v>579</v>
      </c>
      <c r="C19" s="45" t="s">
        <v>593</v>
      </c>
      <c r="D19" s="43" t="s">
        <v>24</v>
      </c>
      <c r="E19" s="46" t="str">
        <f t="shared" si="2"/>
        <v/>
      </c>
      <c r="F19" s="46" t="str">
        <f t="shared" si="3"/>
        <v>❌</v>
      </c>
      <c r="G19" s="47" t="s">
        <v>43</v>
      </c>
      <c r="H19" s="72" t="s">
        <v>602</v>
      </c>
      <c r="I19" s="42" t="s">
        <v>51</v>
      </c>
    </row>
    <row r="20" spans="1:9" ht="40.5" customHeight="1">
      <c r="A20" s="48" t="s">
        <v>603</v>
      </c>
      <c r="B20" s="49" t="s">
        <v>582</v>
      </c>
      <c r="C20" s="50" t="s">
        <v>593</v>
      </c>
      <c r="D20" s="48" t="s">
        <v>27</v>
      </c>
      <c r="E20" s="51" t="str">
        <f t="shared" si="2"/>
        <v/>
      </c>
      <c r="F20" s="51" t="str">
        <f t="shared" si="3"/>
        <v>❌</v>
      </c>
      <c r="G20" s="52" t="s">
        <v>43</v>
      </c>
      <c r="H20" s="72" t="s">
        <v>604</v>
      </c>
      <c r="I20" s="42" t="s">
        <v>51</v>
      </c>
    </row>
    <row r="21" spans="1:9" ht="48.75" customHeight="1">
      <c r="A21" s="37" t="s">
        <v>605</v>
      </c>
      <c r="B21" s="38" t="s">
        <v>585</v>
      </c>
      <c r="C21" s="39" t="s">
        <v>606</v>
      </c>
      <c r="D21" s="37" t="s">
        <v>30</v>
      </c>
      <c r="E21" s="40" t="str">
        <f t="shared" si="2"/>
        <v/>
      </c>
      <c r="F21" s="40" t="str">
        <f t="shared" si="3"/>
        <v>❌</v>
      </c>
      <c r="G21" s="41" t="s">
        <v>43</v>
      </c>
      <c r="H21" s="72" t="s">
        <v>607</v>
      </c>
      <c r="I21" s="42" t="s">
        <v>51</v>
      </c>
    </row>
    <row r="22" spans="1:9" ht="40.5" customHeight="1">
      <c r="A22" s="53" t="s">
        <v>608</v>
      </c>
      <c r="B22" s="54" t="s">
        <v>585</v>
      </c>
      <c r="C22" s="55" t="s">
        <v>609</v>
      </c>
      <c r="D22" s="53" t="s">
        <v>33</v>
      </c>
      <c r="E22" s="56" t="str">
        <f t="shared" si="2"/>
        <v/>
      </c>
      <c r="F22" s="56" t="str">
        <f t="shared" si="3"/>
        <v>❌</v>
      </c>
      <c r="G22" s="57" t="s">
        <v>43</v>
      </c>
      <c r="H22" s="72" t="s">
        <v>610</v>
      </c>
      <c r="I22" s="42" t="s">
        <v>51</v>
      </c>
    </row>
    <row r="23" spans="1:9" ht="21.75" customHeight="1">
      <c r="A23" s="128" t="s">
        <v>611</v>
      </c>
      <c r="B23" s="109"/>
      <c r="C23" s="109"/>
      <c r="D23" s="109"/>
      <c r="E23" s="109"/>
      <c r="F23" s="109"/>
      <c r="G23" s="109"/>
      <c r="H23" s="109"/>
      <c r="I23" s="110"/>
    </row>
    <row r="24" spans="1:9" ht="36.75" customHeight="1">
      <c r="A24" s="43" t="s">
        <v>612</v>
      </c>
      <c r="B24" s="44" t="s">
        <v>566</v>
      </c>
      <c r="C24" s="45" t="s">
        <v>613</v>
      </c>
      <c r="D24" s="43" t="s">
        <v>24</v>
      </c>
      <c r="E24" s="46" t="str">
        <f t="shared" ref="E24:E31" si="4">IF(G24="Pass","✅","")</f>
        <v/>
      </c>
      <c r="F24" s="46" t="str">
        <f t="shared" ref="F24:F31" si="5">IF(G24="Fail","❌","")</f>
        <v>❌</v>
      </c>
      <c r="G24" s="47" t="s">
        <v>43</v>
      </c>
      <c r="H24" s="72" t="s">
        <v>614</v>
      </c>
      <c r="I24" s="42" t="s">
        <v>51</v>
      </c>
    </row>
    <row r="25" spans="1:9" ht="42.75" customHeight="1">
      <c r="A25" s="43" t="s">
        <v>615</v>
      </c>
      <c r="B25" s="44" t="s">
        <v>570</v>
      </c>
      <c r="C25" s="45" t="s">
        <v>613</v>
      </c>
      <c r="D25" s="43" t="s">
        <v>24</v>
      </c>
      <c r="E25" s="46" t="str">
        <f t="shared" si="4"/>
        <v/>
      </c>
      <c r="F25" s="46" t="str">
        <f t="shared" si="5"/>
        <v>❌</v>
      </c>
      <c r="G25" s="47" t="s">
        <v>43</v>
      </c>
      <c r="H25" s="72" t="s">
        <v>616</v>
      </c>
      <c r="I25" s="42" t="s">
        <v>51</v>
      </c>
    </row>
    <row r="26" spans="1:9" ht="36.75" customHeight="1">
      <c r="A26" s="37" t="s">
        <v>617</v>
      </c>
      <c r="B26" s="38" t="s">
        <v>573</v>
      </c>
      <c r="C26" s="39" t="s">
        <v>613</v>
      </c>
      <c r="D26" s="37" t="s">
        <v>30</v>
      </c>
      <c r="E26" s="40" t="str">
        <f t="shared" si="4"/>
        <v/>
      </c>
      <c r="F26" s="40" t="str">
        <f t="shared" si="5"/>
        <v>❌</v>
      </c>
      <c r="G26" s="41" t="s">
        <v>43</v>
      </c>
      <c r="H26" s="73" t="s">
        <v>618</v>
      </c>
      <c r="I26" s="42" t="s">
        <v>51</v>
      </c>
    </row>
    <row r="27" spans="1:9" ht="39" customHeight="1">
      <c r="A27" s="43" t="s">
        <v>619</v>
      </c>
      <c r="B27" s="44" t="s">
        <v>576</v>
      </c>
      <c r="C27" s="45" t="s">
        <v>613</v>
      </c>
      <c r="D27" s="43" t="s">
        <v>24</v>
      </c>
      <c r="E27" s="46" t="str">
        <f t="shared" si="4"/>
        <v>✅</v>
      </c>
      <c r="F27" s="46" t="str">
        <f t="shared" si="5"/>
        <v/>
      </c>
      <c r="G27" s="47" t="s">
        <v>42</v>
      </c>
      <c r="H27" s="72" t="s">
        <v>620</v>
      </c>
      <c r="I27" s="42" t="s">
        <v>51</v>
      </c>
    </row>
    <row r="28" spans="1:9" ht="42.75" customHeight="1">
      <c r="A28" s="43" t="s">
        <v>621</v>
      </c>
      <c r="B28" s="44" t="s">
        <v>579</v>
      </c>
      <c r="C28" s="45" t="s">
        <v>613</v>
      </c>
      <c r="D28" s="43" t="s">
        <v>24</v>
      </c>
      <c r="E28" s="46" t="str">
        <f t="shared" si="4"/>
        <v/>
      </c>
      <c r="F28" s="46" t="str">
        <f t="shared" si="5"/>
        <v>❌</v>
      </c>
      <c r="G28" s="47" t="s">
        <v>43</v>
      </c>
      <c r="H28" s="72" t="s">
        <v>622</v>
      </c>
      <c r="I28" s="42" t="s">
        <v>51</v>
      </c>
    </row>
    <row r="29" spans="1:9" ht="42.75" customHeight="1">
      <c r="A29" s="43" t="s">
        <v>623</v>
      </c>
      <c r="B29" s="44" t="s">
        <v>624</v>
      </c>
      <c r="C29" s="45" t="s">
        <v>613</v>
      </c>
      <c r="D29" s="43" t="s">
        <v>24</v>
      </c>
      <c r="E29" s="46" t="str">
        <f t="shared" si="4"/>
        <v/>
      </c>
      <c r="F29" s="46" t="str">
        <f t="shared" si="5"/>
        <v>❌</v>
      </c>
      <c r="G29" s="47" t="s">
        <v>43</v>
      </c>
      <c r="H29" s="72" t="s">
        <v>625</v>
      </c>
      <c r="I29" s="42" t="s">
        <v>51</v>
      </c>
    </row>
    <row r="30" spans="1:9" ht="44.25" customHeight="1">
      <c r="A30" s="43" t="s">
        <v>626</v>
      </c>
      <c r="B30" s="44" t="s">
        <v>627</v>
      </c>
      <c r="C30" s="45" t="s">
        <v>628</v>
      </c>
      <c r="D30" s="43" t="s">
        <v>24</v>
      </c>
      <c r="E30" s="46" t="str">
        <f t="shared" si="4"/>
        <v/>
      </c>
      <c r="F30" s="46" t="str">
        <f t="shared" si="5"/>
        <v>❌</v>
      </c>
      <c r="G30" s="47" t="s">
        <v>43</v>
      </c>
      <c r="H30" s="72" t="s">
        <v>629</v>
      </c>
      <c r="I30" s="42" t="s">
        <v>51</v>
      </c>
    </row>
    <row r="31" spans="1:9" ht="41.25" customHeight="1">
      <c r="A31" s="37" t="s">
        <v>630</v>
      </c>
      <c r="B31" s="38" t="s">
        <v>631</v>
      </c>
      <c r="C31" s="39" t="s">
        <v>632</v>
      </c>
      <c r="D31" s="37" t="s">
        <v>30</v>
      </c>
      <c r="E31" s="40" t="str">
        <f t="shared" si="4"/>
        <v/>
      </c>
      <c r="F31" s="40" t="str">
        <f t="shared" si="5"/>
        <v>❌</v>
      </c>
      <c r="G31" s="41" t="s">
        <v>43</v>
      </c>
      <c r="H31" s="73" t="s">
        <v>633</v>
      </c>
      <c r="I31" s="42" t="s">
        <v>51</v>
      </c>
    </row>
    <row r="32" spans="1:9" ht="21.75" customHeight="1">
      <c r="A32" s="128" t="s">
        <v>634</v>
      </c>
      <c r="B32" s="109"/>
      <c r="C32" s="109"/>
      <c r="D32" s="109"/>
      <c r="E32" s="109"/>
      <c r="F32" s="109"/>
      <c r="G32" s="109"/>
      <c r="H32" s="109"/>
      <c r="I32" s="110"/>
    </row>
    <row r="33" spans="1:9" ht="41.25" customHeight="1">
      <c r="A33" s="43" t="s">
        <v>635</v>
      </c>
      <c r="B33" s="44" t="s">
        <v>566</v>
      </c>
      <c r="C33" s="45" t="s">
        <v>636</v>
      </c>
      <c r="D33" s="43" t="s">
        <v>24</v>
      </c>
      <c r="E33" s="46" t="str">
        <f t="shared" ref="E33:E39" si="6">IF(G33="Pass","✅","")</f>
        <v/>
      </c>
      <c r="F33" s="46" t="str">
        <f t="shared" ref="F33:F39" si="7">IF(G33="Fail","❌","")</f>
        <v>❌</v>
      </c>
      <c r="G33" s="47" t="s">
        <v>43</v>
      </c>
      <c r="H33" s="72" t="s">
        <v>637</v>
      </c>
      <c r="I33" s="42" t="s">
        <v>51</v>
      </c>
    </row>
    <row r="34" spans="1:9" ht="38.25" customHeight="1">
      <c r="A34" s="43" t="s">
        <v>638</v>
      </c>
      <c r="B34" s="44" t="s">
        <v>570</v>
      </c>
      <c r="C34" s="45" t="s">
        <v>636</v>
      </c>
      <c r="D34" s="43" t="s">
        <v>24</v>
      </c>
      <c r="E34" s="46" t="str">
        <f t="shared" si="6"/>
        <v/>
      </c>
      <c r="F34" s="46" t="str">
        <f t="shared" si="7"/>
        <v>❌</v>
      </c>
      <c r="G34" s="47" t="s">
        <v>43</v>
      </c>
      <c r="H34" s="72" t="s">
        <v>637</v>
      </c>
      <c r="I34" s="42" t="s">
        <v>51</v>
      </c>
    </row>
    <row r="35" spans="1:9" ht="42.75" customHeight="1">
      <c r="A35" s="37" t="s">
        <v>639</v>
      </c>
      <c r="B35" s="38" t="s">
        <v>573</v>
      </c>
      <c r="C35" s="39" t="s">
        <v>636</v>
      </c>
      <c r="D35" s="37" t="s">
        <v>30</v>
      </c>
      <c r="E35" s="40" t="str">
        <f t="shared" si="6"/>
        <v/>
      </c>
      <c r="F35" s="40" t="str">
        <f t="shared" si="7"/>
        <v>❌</v>
      </c>
      <c r="G35" s="41" t="s">
        <v>43</v>
      </c>
      <c r="H35" s="72" t="s">
        <v>637</v>
      </c>
      <c r="I35" s="42" t="s">
        <v>51</v>
      </c>
    </row>
    <row r="36" spans="1:9" ht="19.5" customHeight="1">
      <c r="A36" s="43" t="s">
        <v>640</v>
      </c>
      <c r="B36" s="44" t="s">
        <v>576</v>
      </c>
      <c r="C36" s="45" t="s">
        <v>636</v>
      </c>
      <c r="D36" s="43" t="s">
        <v>24</v>
      </c>
      <c r="E36" s="46" t="str">
        <f t="shared" si="6"/>
        <v>✅</v>
      </c>
      <c r="F36" s="46" t="str">
        <f t="shared" si="7"/>
        <v/>
      </c>
      <c r="G36" s="47" t="s">
        <v>42</v>
      </c>
      <c r="H36" s="69"/>
      <c r="I36" s="42" t="s">
        <v>51</v>
      </c>
    </row>
    <row r="37" spans="1:9" ht="41.25" customHeight="1">
      <c r="A37" s="43" t="s">
        <v>641</v>
      </c>
      <c r="B37" s="44" t="s">
        <v>579</v>
      </c>
      <c r="C37" s="45" t="s">
        <v>636</v>
      </c>
      <c r="D37" s="43" t="s">
        <v>24</v>
      </c>
      <c r="E37" s="46" t="str">
        <f t="shared" si="6"/>
        <v/>
      </c>
      <c r="F37" s="46" t="str">
        <f t="shared" si="7"/>
        <v>❌</v>
      </c>
      <c r="G37" s="47" t="s">
        <v>43</v>
      </c>
      <c r="H37" s="72" t="s">
        <v>637</v>
      </c>
      <c r="I37" s="42" t="s">
        <v>51</v>
      </c>
    </row>
    <row r="38" spans="1:9" ht="43.5" customHeight="1">
      <c r="A38" s="48" t="s">
        <v>642</v>
      </c>
      <c r="B38" s="49" t="s">
        <v>582</v>
      </c>
      <c r="C38" s="50" t="s">
        <v>636</v>
      </c>
      <c r="D38" s="48" t="s">
        <v>27</v>
      </c>
      <c r="E38" s="51" t="str">
        <f t="shared" si="6"/>
        <v/>
      </c>
      <c r="F38" s="51" t="str">
        <f t="shared" si="7"/>
        <v>❌</v>
      </c>
      <c r="G38" s="52" t="s">
        <v>43</v>
      </c>
      <c r="H38" s="70" t="s">
        <v>637</v>
      </c>
      <c r="I38" s="42" t="s">
        <v>51</v>
      </c>
    </row>
    <row r="39" spans="1:9" ht="46.5" customHeight="1">
      <c r="A39" s="37" t="s">
        <v>643</v>
      </c>
      <c r="B39" s="38" t="s">
        <v>585</v>
      </c>
      <c r="C39" s="39" t="s">
        <v>644</v>
      </c>
      <c r="D39" s="37" t="s">
        <v>30</v>
      </c>
      <c r="E39" s="40" t="str">
        <f t="shared" si="6"/>
        <v/>
      </c>
      <c r="F39" s="40" t="str">
        <f t="shared" si="7"/>
        <v>❌</v>
      </c>
      <c r="G39" s="41" t="s">
        <v>43</v>
      </c>
      <c r="H39" s="73" t="s">
        <v>637</v>
      </c>
      <c r="I39" s="42" t="s">
        <v>51</v>
      </c>
    </row>
    <row r="40" spans="1:9" ht="21.75" customHeight="1">
      <c r="A40" s="128" t="s">
        <v>645</v>
      </c>
      <c r="B40" s="109"/>
      <c r="C40" s="109"/>
      <c r="D40" s="109"/>
      <c r="E40" s="109"/>
      <c r="F40" s="109"/>
      <c r="G40" s="109"/>
      <c r="H40" s="109"/>
      <c r="I40" s="110"/>
    </row>
    <row r="41" spans="1:9" ht="19.5" customHeight="1">
      <c r="A41" s="37" t="s">
        <v>646</v>
      </c>
      <c r="B41" s="38" t="s">
        <v>647</v>
      </c>
      <c r="C41" s="39" t="s">
        <v>648</v>
      </c>
      <c r="D41" s="37" t="s">
        <v>30</v>
      </c>
      <c r="E41" s="40" t="str">
        <f t="shared" ref="E41:E46" si="8">IF(G41="Pass","✅","")</f>
        <v>✅</v>
      </c>
      <c r="F41" s="40" t="str">
        <f t="shared" ref="F41:F46" si="9">IF(G41="Fail","❌","")</f>
        <v/>
      </c>
      <c r="G41" s="41" t="s">
        <v>42</v>
      </c>
      <c r="H41" s="77"/>
      <c r="I41" s="42" t="s">
        <v>51</v>
      </c>
    </row>
    <row r="42" spans="1:9" ht="19.5" customHeight="1">
      <c r="A42" s="37" t="s">
        <v>649</v>
      </c>
      <c r="B42" s="38" t="s">
        <v>650</v>
      </c>
      <c r="C42" s="39" t="s">
        <v>648</v>
      </c>
      <c r="D42" s="37" t="s">
        <v>30</v>
      </c>
      <c r="E42" s="40" t="str">
        <f t="shared" si="8"/>
        <v>✅</v>
      </c>
      <c r="F42" s="40" t="str">
        <f t="shared" si="9"/>
        <v/>
      </c>
      <c r="G42" s="41" t="s">
        <v>42</v>
      </c>
      <c r="H42" s="77"/>
      <c r="I42" s="42" t="s">
        <v>51</v>
      </c>
    </row>
    <row r="43" spans="1:9" ht="46.5" customHeight="1">
      <c r="A43" s="53" t="s">
        <v>651</v>
      </c>
      <c r="B43" s="54" t="s">
        <v>652</v>
      </c>
      <c r="C43" s="55" t="s">
        <v>648</v>
      </c>
      <c r="D43" s="53" t="s">
        <v>33</v>
      </c>
      <c r="E43" s="56" t="str">
        <f t="shared" si="8"/>
        <v/>
      </c>
      <c r="F43" s="56" t="str">
        <f t="shared" si="9"/>
        <v>❌</v>
      </c>
      <c r="G43" s="57" t="s">
        <v>43</v>
      </c>
      <c r="H43" s="80" t="s">
        <v>653</v>
      </c>
      <c r="I43" s="42" t="s">
        <v>51</v>
      </c>
    </row>
    <row r="44" spans="1:9" ht="19.5" customHeight="1">
      <c r="A44" s="37" t="s">
        <v>654</v>
      </c>
      <c r="B44" s="38" t="s">
        <v>655</v>
      </c>
      <c r="C44" s="39" t="s">
        <v>648</v>
      </c>
      <c r="D44" s="37" t="s">
        <v>30</v>
      </c>
      <c r="E44" s="40" t="str">
        <f t="shared" si="8"/>
        <v>✅</v>
      </c>
      <c r="F44" s="40" t="str">
        <f t="shared" si="9"/>
        <v/>
      </c>
      <c r="G44" s="41" t="s">
        <v>42</v>
      </c>
      <c r="H44" s="77"/>
      <c r="I44" s="42" t="s">
        <v>51</v>
      </c>
    </row>
    <row r="45" spans="1:9" ht="19.5" customHeight="1">
      <c r="A45" s="48" t="s">
        <v>656</v>
      </c>
      <c r="B45" s="49" t="s">
        <v>657</v>
      </c>
      <c r="C45" s="50" t="s">
        <v>648</v>
      </c>
      <c r="D45" s="48" t="s">
        <v>27</v>
      </c>
      <c r="E45" s="51" t="str">
        <f t="shared" si="8"/>
        <v>✅</v>
      </c>
      <c r="F45" s="51" t="str">
        <f t="shared" si="9"/>
        <v/>
      </c>
      <c r="G45" s="52" t="s">
        <v>42</v>
      </c>
      <c r="H45" s="71"/>
      <c r="I45" s="42" t="s">
        <v>51</v>
      </c>
    </row>
    <row r="46" spans="1:9" ht="19.5" customHeight="1">
      <c r="A46" s="48" t="s">
        <v>658</v>
      </c>
      <c r="B46" s="49" t="s">
        <v>659</v>
      </c>
      <c r="C46" s="50" t="s">
        <v>648</v>
      </c>
      <c r="D46" s="48" t="s">
        <v>27</v>
      </c>
      <c r="E46" s="51" t="str">
        <f t="shared" si="8"/>
        <v>✅</v>
      </c>
      <c r="F46" s="51" t="str">
        <f t="shared" si="9"/>
        <v/>
      </c>
      <c r="G46" s="52" t="s">
        <v>42</v>
      </c>
      <c r="H46" s="71"/>
      <c r="I46" s="42" t="s">
        <v>51</v>
      </c>
    </row>
    <row r="47" spans="1:9" ht="15.75" customHeight="1">
      <c r="G47" s="60"/>
      <c r="H47" s="67"/>
    </row>
    <row r="48" spans="1:9" ht="21.75" customHeight="1">
      <c r="A48" s="129" t="s">
        <v>191</v>
      </c>
      <c r="B48" s="110"/>
      <c r="C48" s="61" t="s">
        <v>192</v>
      </c>
      <c r="D48" s="61" t="s">
        <v>193</v>
      </c>
      <c r="E48" s="61" t="s">
        <v>194</v>
      </c>
      <c r="F48" s="61" t="s">
        <v>162</v>
      </c>
      <c r="G48" s="61" t="s">
        <v>7</v>
      </c>
      <c r="H48" s="67"/>
    </row>
    <row r="49" spans="3:8" ht="21.75" customHeight="1">
      <c r="C49" s="62">
        <f>COUNTA(G5:G46)</f>
        <v>37</v>
      </c>
      <c r="D49" s="63">
        <f>COUNTIF(G5:G46,"Pass")</f>
        <v>9</v>
      </c>
      <c r="E49" s="64">
        <f>COUNTIF(G5:G46,"Fail")</f>
        <v>28</v>
      </c>
      <c r="F49" s="65">
        <f>COUNTIF(G5:G46,"Not Run")</f>
        <v>0</v>
      </c>
      <c r="G49" s="66">
        <f>IFERROR(COUNTIF(G5:G46,"Pass")/COUNTA(G5:G46),0)</f>
        <v>0.24324324324324326</v>
      </c>
      <c r="H49" s="67"/>
    </row>
    <row r="50" spans="3:8" ht="15.75" customHeight="1">
      <c r="H50" s="67"/>
    </row>
    <row r="51" spans="3:8" ht="15.75" customHeight="1">
      <c r="H51" s="67"/>
    </row>
    <row r="52" spans="3:8" ht="15.75" customHeight="1">
      <c r="H52" s="67"/>
    </row>
    <row r="53" spans="3:8" ht="15.75" customHeight="1">
      <c r="H53" s="67"/>
    </row>
    <row r="54" spans="3:8" ht="15.75" customHeight="1">
      <c r="H54" s="67"/>
    </row>
    <row r="55" spans="3:8" ht="15.75" customHeight="1">
      <c r="H55" s="67"/>
    </row>
    <row r="56" spans="3:8" ht="15.75" customHeight="1">
      <c r="H56" s="67"/>
    </row>
    <row r="57" spans="3:8" ht="15.75" customHeight="1">
      <c r="H57" s="67"/>
    </row>
    <row r="58" spans="3:8" ht="15.75" customHeight="1">
      <c r="H58" s="67"/>
    </row>
    <row r="59" spans="3:8" ht="15.75" customHeight="1">
      <c r="H59" s="67"/>
    </row>
    <row r="60" spans="3:8" ht="15.75" customHeight="1">
      <c r="H60" s="67"/>
    </row>
    <row r="61" spans="3:8" ht="15.75" customHeight="1">
      <c r="H61" s="67"/>
    </row>
    <row r="62" spans="3:8" ht="15.75" customHeight="1">
      <c r="H62" s="67"/>
    </row>
    <row r="63" spans="3:8" ht="15.75" customHeight="1">
      <c r="H63" s="67"/>
    </row>
    <row r="64" spans="3:8" ht="15.75" customHeight="1">
      <c r="H64" s="67"/>
    </row>
    <row r="65" spans="8:8" ht="15.75" customHeight="1">
      <c r="H65" s="67"/>
    </row>
    <row r="66" spans="8:8" ht="15.75" customHeight="1">
      <c r="H66" s="67"/>
    </row>
    <row r="67" spans="8:8" ht="15.75" customHeight="1">
      <c r="H67" s="67"/>
    </row>
    <row r="68" spans="8:8" ht="15.75" customHeight="1">
      <c r="H68" s="67"/>
    </row>
    <row r="69" spans="8:8" ht="15.75" customHeight="1">
      <c r="H69" s="67"/>
    </row>
    <row r="70" spans="8:8" ht="15.75" customHeight="1">
      <c r="H70" s="67"/>
    </row>
    <row r="71" spans="8:8" ht="15.75" customHeight="1">
      <c r="H71" s="67"/>
    </row>
    <row r="72" spans="8:8" ht="15.75" customHeight="1">
      <c r="H72" s="67"/>
    </row>
    <row r="73" spans="8:8" ht="15.75" customHeight="1">
      <c r="H73" s="67"/>
    </row>
    <row r="74" spans="8:8" ht="15.75" customHeight="1">
      <c r="H74" s="67"/>
    </row>
    <row r="75" spans="8:8" ht="15.75" customHeight="1">
      <c r="H75" s="67"/>
    </row>
    <row r="76" spans="8:8" ht="15.75" customHeight="1">
      <c r="H76" s="67"/>
    </row>
    <row r="77" spans="8:8" ht="15.75" customHeight="1">
      <c r="H77" s="67"/>
    </row>
    <row r="78" spans="8:8" ht="15.75" customHeight="1">
      <c r="H78" s="67"/>
    </row>
    <row r="79" spans="8:8" ht="15.75" customHeight="1">
      <c r="H79" s="67"/>
    </row>
    <row r="80" spans="8:8" ht="15.75" customHeight="1">
      <c r="H80" s="67"/>
    </row>
    <row r="81" spans="8:8" ht="15.75" customHeight="1">
      <c r="H81" s="67"/>
    </row>
    <row r="82" spans="8:8" ht="15.75" customHeight="1">
      <c r="H82" s="67"/>
    </row>
    <row r="83" spans="8:8" ht="15.75" customHeight="1">
      <c r="H83" s="67"/>
    </row>
    <row r="84" spans="8:8" ht="15.75" customHeight="1">
      <c r="H84" s="67"/>
    </row>
    <row r="85" spans="8:8" ht="15.75" customHeight="1">
      <c r="H85" s="67"/>
    </row>
    <row r="86" spans="8:8" ht="15.75" customHeight="1">
      <c r="H86" s="67"/>
    </row>
    <row r="87" spans="8:8" ht="15.75" customHeight="1">
      <c r="H87" s="67"/>
    </row>
    <row r="88" spans="8:8" ht="15.75" customHeight="1">
      <c r="H88" s="67"/>
    </row>
    <row r="89" spans="8:8" ht="15.75" customHeight="1">
      <c r="H89" s="67"/>
    </row>
    <row r="90" spans="8:8" ht="15.75" customHeight="1">
      <c r="H90" s="67"/>
    </row>
    <row r="91" spans="8:8" ht="15.75" customHeight="1">
      <c r="H91" s="67"/>
    </row>
    <row r="92" spans="8:8" ht="15.75" customHeight="1">
      <c r="H92" s="67"/>
    </row>
    <row r="93" spans="8:8" ht="15.75" customHeight="1">
      <c r="H93" s="67"/>
    </row>
    <row r="94" spans="8:8" ht="15.75" customHeight="1">
      <c r="H94" s="67"/>
    </row>
    <row r="95" spans="8:8" ht="15.75" customHeight="1">
      <c r="H95" s="67"/>
    </row>
    <row r="96" spans="8:8" ht="15.75" customHeight="1">
      <c r="H96" s="67"/>
    </row>
    <row r="97" spans="8:8" ht="15.75" customHeight="1">
      <c r="H97" s="67"/>
    </row>
    <row r="98" spans="8:8" ht="15.75" customHeight="1">
      <c r="H98" s="67"/>
    </row>
    <row r="99" spans="8:8" ht="15.75" customHeight="1">
      <c r="H99" s="67"/>
    </row>
    <row r="100" spans="8:8" ht="15.75" customHeight="1">
      <c r="H100" s="67"/>
    </row>
    <row r="101" spans="8:8" ht="15.75" customHeight="1">
      <c r="H101" s="67"/>
    </row>
    <row r="102" spans="8:8" ht="15.75" customHeight="1">
      <c r="H102" s="67"/>
    </row>
    <row r="103" spans="8:8" ht="15.75" customHeight="1">
      <c r="H103" s="67"/>
    </row>
    <row r="104" spans="8:8" ht="15.75" customHeight="1">
      <c r="H104" s="67"/>
    </row>
    <row r="105" spans="8:8" ht="15.75" customHeight="1">
      <c r="H105" s="67"/>
    </row>
    <row r="106" spans="8:8" ht="15.75" customHeight="1">
      <c r="H106" s="67"/>
    </row>
    <row r="107" spans="8:8" ht="15.75" customHeight="1">
      <c r="H107" s="67"/>
    </row>
    <row r="108" spans="8:8" ht="15.75" customHeight="1">
      <c r="H108" s="67"/>
    </row>
    <row r="109" spans="8:8" ht="15.75" customHeight="1">
      <c r="H109" s="67"/>
    </row>
    <row r="110" spans="8:8" ht="15.75" customHeight="1">
      <c r="H110" s="67"/>
    </row>
    <row r="111" spans="8:8" ht="15.75" customHeight="1">
      <c r="H111" s="67"/>
    </row>
    <row r="112" spans="8:8" ht="15.75" customHeight="1">
      <c r="H112" s="67"/>
    </row>
    <row r="113" spans="8:8" ht="15.75" customHeight="1">
      <c r="H113" s="67"/>
    </row>
    <row r="114" spans="8:8" ht="15.75" customHeight="1">
      <c r="H114" s="67"/>
    </row>
    <row r="115" spans="8:8" ht="15.75" customHeight="1">
      <c r="H115" s="67"/>
    </row>
    <row r="116" spans="8:8" ht="15.75" customHeight="1">
      <c r="H116" s="67"/>
    </row>
    <row r="117" spans="8:8" ht="15.75" customHeight="1">
      <c r="H117" s="67"/>
    </row>
    <row r="118" spans="8:8" ht="15.75" customHeight="1">
      <c r="H118" s="67"/>
    </row>
    <row r="119" spans="8:8" ht="15.75" customHeight="1">
      <c r="H119" s="67"/>
    </row>
    <row r="120" spans="8:8" ht="15.75" customHeight="1">
      <c r="H120" s="67"/>
    </row>
    <row r="121" spans="8:8" ht="15.75" customHeight="1">
      <c r="H121" s="67"/>
    </row>
    <row r="122" spans="8:8" ht="15.75" customHeight="1">
      <c r="H122" s="67"/>
    </row>
    <row r="123" spans="8:8" ht="15.75" customHeight="1">
      <c r="H123" s="67"/>
    </row>
    <row r="124" spans="8:8" ht="15.75" customHeight="1">
      <c r="H124" s="67"/>
    </row>
    <row r="125" spans="8:8" ht="15.75" customHeight="1">
      <c r="H125" s="67"/>
    </row>
    <row r="126" spans="8:8" ht="15.75" customHeight="1">
      <c r="H126" s="67"/>
    </row>
    <row r="127" spans="8:8" ht="15.75" customHeight="1">
      <c r="H127" s="67"/>
    </row>
    <row r="128" spans="8:8" ht="15.75" customHeight="1">
      <c r="H128" s="67"/>
    </row>
    <row r="129" spans="8:8" ht="15.75" customHeight="1">
      <c r="H129" s="67"/>
    </row>
    <row r="130" spans="8:8" ht="15.75" customHeight="1">
      <c r="H130" s="67"/>
    </row>
    <row r="131" spans="8:8" ht="15.75" customHeight="1">
      <c r="H131" s="67"/>
    </row>
    <row r="132" spans="8:8" ht="15.75" customHeight="1">
      <c r="H132" s="67"/>
    </row>
    <row r="133" spans="8:8" ht="15.75" customHeight="1">
      <c r="H133" s="67"/>
    </row>
    <row r="134" spans="8:8" ht="15.75" customHeight="1">
      <c r="H134" s="67"/>
    </row>
    <row r="135" spans="8:8" ht="15.75" customHeight="1">
      <c r="H135" s="67"/>
    </row>
    <row r="136" spans="8:8" ht="15.75" customHeight="1">
      <c r="H136" s="67"/>
    </row>
    <row r="137" spans="8:8" ht="15.75" customHeight="1">
      <c r="H137" s="67"/>
    </row>
    <row r="138" spans="8:8" ht="15.75" customHeight="1">
      <c r="H138" s="67"/>
    </row>
    <row r="139" spans="8:8" ht="15.75" customHeight="1">
      <c r="H139" s="67"/>
    </row>
    <row r="140" spans="8:8" ht="15.75" customHeight="1">
      <c r="H140" s="67"/>
    </row>
    <row r="141" spans="8:8" ht="15.75" customHeight="1">
      <c r="H141" s="67"/>
    </row>
    <row r="142" spans="8:8" ht="15.75" customHeight="1">
      <c r="H142" s="67"/>
    </row>
    <row r="143" spans="8:8" ht="15.75" customHeight="1">
      <c r="H143" s="67"/>
    </row>
    <row r="144" spans="8:8" ht="15.75" customHeight="1">
      <c r="H144" s="67"/>
    </row>
    <row r="145" spans="8:8" ht="15.75" customHeight="1">
      <c r="H145" s="67"/>
    </row>
    <row r="146" spans="8:8" ht="15.75" customHeight="1">
      <c r="H146" s="67"/>
    </row>
    <row r="147" spans="8:8" ht="15.75" customHeight="1">
      <c r="H147" s="67"/>
    </row>
    <row r="148" spans="8:8" ht="15.75" customHeight="1">
      <c r="H148" s="67"/>
    </row>
    <row r="149" spans="8:8" ht="15.75" customHeight="1">
      <c r="H149" s="67"/>
    </row>
    <row r="150" spans="8:8" ht="15.75" customHeight="1">
      <c r="H150" s="67"/>
    </row>
    <row r="151" spans="8:8" ht="15.75" customHeight="1">
      <c r="H151" s="67"/>
    </row>
    <row r="152" spans="8:8" ht="15.75" customHeight="1">
      <c r="H152" s="67"/>
    </row>
    <row r="153" spans="8:8" ht="15.75" customHeight="1">
      <c r="H153" s="67"/>
    </row>
    <row r="154" spans="8:8" ht="15.75" customHeight="1">
      <c r="H154" s="67"/>
    </row>
    <row r="155" spans="8:8" ht="15.75" customHeight="1">
      <c r="H155" s="67"/>
    </row>
    <row r="156" spans="8:8" ht="15.75" customHeight="1">
      <c r="H156" s="67"/>
    </row>
    <row r="157" spans="8:8" ht="15.75" customHeight="1">
      <c r="H157" s="67"/>
    </row>
    <row r="158" spans="8:8" ht="15.75" customHeight="1">
      <c r="H158" s="67"/>
    </row>
    <row r="159" spans="8:8" ht="15.75" customHeight="1">
      <c r="H159" s="67"/>
    </row>
    <row r="160" spans="8:8" ht="15.75" customHeight="1">
      <c r="H160" s="67"/>
    </row>
    <row r="161" spans="8:8" ht="15.75" customHeight="1">
      <c r="H161" s="67"/>
    </row>
    <row r="162" spans="8:8" ht="15.75" customHeight="1">
      <c r="H162" s="67"/>
    </row>
    <row r="163" spans="8:8" ht="15.75" customHeight="1">
      <c r="H163" s="67"/>
    </row>
    <row r="164" spans="8:8" ht="15.75" customHeight="1">
      <c r="H164" s="67"/>
    </row>
    <row r="165" spans="8:8" ht="15.75" customHeight="1">
      <c r="H165" s="67"/>
    </row>
    <row r="166" spans="8:8" ht="15.75" customHeight="1">
      <c r="H166" s="67"/>
    </row>
    <row r="167" spans="8:8" ht="15.75" customHeight="1">
      <c r="H167" s="67"/>
    </row>
    <row r="168" spans="8:8" ht="15.75" customHeight="1">
      <c r="H168" s="67"/>
    </row>
    <row r="169" spans="8:8" ht="15.75" customHeight="1">
      <c r="H169" s="67"/>
    </row>
    <row r="170" spans="8:8" ht="15.75" customHeight="1">
      <c r="H170" s="67"/>
    </row>
    <row r="171" spans="8:8" ht="15.75" customHeight="1">
      <c r="H171" s="67"/>
    </row>
    <row r="172" spans="8:8" ht="15.75" customHeight="1">
      <c r="H172" s="67"/>
    </row>
    <row r="173" spans="8:8" ht="15.75" customHeight="1">
      <c r="H173" s="67"/>
    </row>
    <row r="174" spans="8:8" ht="15.75" customHeight="1">
      <c r="H174" s="67"/>
    </row>
    <row r="175" spans="8:8" ht="15.75" customHeight="1">
      <c r="H175" s="67"/>
    </row>
    <row r="176" spans="8:8" ht="15.75" customHeight="1">
      <c r="H176" s="67"/>
    </row>
    <row r="177" spans="8:8" ht="15.75" customHeight="1">
      <c r="H177" s="67"/>
    </row>
    <row r="178" spans="8:8" ht="15.75" customHeight="1">
      <c r="H178" s="67"/>
    </row>
    <row r="179" spans="8:8" ht="15.75" customHeight="1">
      <c r="H179" s="67"/>
    </row>
    <row r="180" spans="8:8" ht="15.75" customHeight="1">
      <c r="H180" s="67"/>
    </row>
    <row r="181" spans="8:8" ht="15.75" customHeight="1">
      <c r="H181" s="67"/>
    </row>
    <row r="182" spans="8:8" ht="15.75" customHeight="1">
      <c r="H182" s="67"/>
    </row>
    <row r="183" spans="8:8" ht="15.75" customHeight="1">
      <c r="H183" s="67"/>
    </row>
    <row r="184" spans="8:8" ht="15.75" customHeight="1">
      <c r="H184" s="67"/>
    </row>
    <row r="185" spans="8:8" ht="15.75" customHeight="1">
      <c r="H185" s="67"/>
    </row>
    <row r="186" spans="8:8" ht="15.75" customHeight="1">
      <c r="H186" s="67"/>
    </row>
    <row r="187" spans="8:8" ht="15.75" customHeight="1">
      <c r="H187" s="67"/>
    </row>
    <row r="188" spans="8:8" ht="15.75" customHeight="1">
      <c r="H188" s="67"/>
    </row>
    <row r="189" spans="8:8" ht="15.75" customHeight="1">
      <c r="H189" s="67"/>
    </row>
    <row r="190" spans="8:8" ht="15.75" customHeight="1">
      <c r="H190" s="67"/>
    </row>
    <row r="191" spans="8:8" ht="15.75" customHeight="1">
      <c r="H191" s="67"/>
    </row>
    <row r="192" spans="8:8" ht="15.75" customHeight="1">
      <c r="H192" s="67"/>
    </row>
    <row r="193" spans="8:8" ht="15.75" customHeight="1">
      <c r="H193" s="67"/>
    </row>
    <row r="194" spans="8:8" ht="15.75" customHeight="1">
      <c r="H194" s="67"/>
    </row>
    <row r="195" spans="8:8" ht="15.75" customHeight="1">
      <c r="H195" s="67"/>
    </row>
    <row r="196" spans="8:8" ht="15.75" customHeight="1">
      <c r="H196" s="67"/>
    </row>
    <row r="197" spans="8:8" ht="15.75" customHeight="1">
      <c r="H197" s="67"/>
    </row>
    <row r="198" spans="8:8" ht="15.75" customHeight="1">
      <c r="H198" s="67"/>
    </row>
    <row r="199" spans="8:8" ht="15.75" customHeight="1">
      <c r="H199" s="67"/>
    </row>
    <row r="200" spans="8:8" ht="15.75" customHeight="1">
      <c r="H200" s="67"/>
    </row>
    <row r="201" spans="8:8" ht="15.75" customHeight="1">
      <c r="H201" s="67"/>
    </row>
    <row r="202" spans="8:8" ht="15.75" customHeight="1">
      <c r="H202" s="67"/>
    </row>
    <row r="203" spans="8:8" ht="15.75" customHeight="1">
      <c r="H203" s="67"/>
    </row>
    <row r="204" spans="8:8" ht="15.75" customHeight="1">
      <c r="H204" s="67"/>
    </row>
    <row r="205" spans="8:8" ht="15.75" customHeight="1">
      <c r="H205" s="67"/>
    </row>
    <row r="206" spans="8:8" ht="15.75" customHeight="1">
      <c r="H206" s="67"/>
    </row>
    <row r="207" spans="8:8" ht="15.75" customHeight="1">
      <c r="H207" s="67"/>
    </row>
    <row r="208" spans="8:8" ht="15.75" customHeight="1">
      <c r="H208" s="67"/>
    </row>
    <row r="209" spans="8:8" ht="15.75" customHeight="1">
      <c r="H209" s="67"/>
    </row>
    <row r="210" spans="8:8" ht="15.75" customHeight="1">
      <c r="H210" s="67"/>
    </row>
    <row r="211" spans="8:8" ht="15.75" customHeight="1">
      <c r="H211" s="67"/>
    </row>
    <row r="212" spans="8:8" ht="15.75" customHeight="1">
      <c r="H212" s="67"/>
    </row>
    <row r="213" spans="8:8" ht="15.75" customHeight="1">
      <c r="H213" s="67"/>
    </row>
    <row r="214" spans="8:8" ht="15.75" customHeight="1">
      <c r="H214" s="67"/>
    </row>
    <row r="215" spans="8:8" ht="15.75" customHeight="1">
      <c r="H215" s="67"/>
    </row>
    <row r="216" spans="8:8" ht="15.75" customHeight="1">
      <c r="H216" s="67"/>
    </row>
    <row r="217" spans="8:8" ht="15.75" customHeight="1">
      <c r="H217" s="67"/>
    </row>
    <row r="218" spans="8:8" ht="15.75" customHeight="1">
      <c r="H218" s="67"/>
    </row>
    <row r="219" spans="8:8" ht="15.75" customHeight="1">
      <c r="H219" s="67"/>
    </row>
    <row r="220" spans="8:8" ht="15.75" customHeight="1">
      <c r="H220" s="67"/>
    </row>
    <row r="221" spans="8:8" ht="15.75" customHeight="1">
      <c r="H221" s="67"/>
    </row>
    <row r="222" spans="8:8" ht="15.75" customHeight="1">
      <c r="H222" s="67"/>
    </row>
    <row r="223" spans="8:8" ht="15.75" customHeight="1">
      <c r="H223" s="67"/>
    </row>
    <row r="224" spans="8:8" ht="15.75" customHeight="1">
      <c r="H224" s="67"/>
    </row>
    <row r="225" spans="8:8" ht="15.75" customHeight="1">
      <c r="H225" s="67"/>
    </row>
    <row r="226" spans="8:8" ht="15.75" customHeight="1">
      <c r="H226" s="67"/>
    </row>
    <row r="227" spans="8:8" ht="15.75" customHeight="1">
      <c r="H227" s="67"/>
    </row>
    <row r="228" spans="8:8" ht="15.75" customHeight="1">
      <c r="H228" s="67"/>
    </row>
    <row r="229" spans="8:8" ht="15.75" customHeight="1">
      <c r="H229" s="67"/>
    </row>
    <row r="230" spans="8:8" ht="15.75" customHeight="1">
      <c r="H230" s="67"/>
    </row>
    <row r="231" spans="8:8" ht="15.75" customHeight="1">
      <c r="H231" s="67"/>
    </row>
    <row r="232" spans="8:8" ht="15.75" customHeight="1">
      <c r="H232" s="67"/>
    </row>
    <row r="233" spans="8:8" ht="15.75" customHeight="1">
      <c r="H233" s="67"/>
    </row>
    <row r="234" spans="8:8" ht="15.75" customHeight="1">
      <c r="H234" s="67"/>
    </row>
    <row r="235" spans="8:8" ht="15.75" customHeight="1">
      <c r="H235" s="67"/>
    </row>
    <row r="236" spans="8:8" ht="15.75" customHeight="1">
      <c r="H236" s="67"/>
    </row>
    <row r="237" spans="8:8" ht="15.75" customHeight="1">
      <c r="H237" s="67"/>
    </row>
    <row r="238" spans="8:8" ht="15.75" customHeight="1">
      <c r="H238" s="67"/>
    </row>
    <row r="239" spans="8:8" ht="15.75" customHeight="1">
      <c r="H239" s="67"/>
    </row>
    <row r="240" spans="8:8" ht="15.75" customHeight="1">
      <c r="H240" s="67"/>
    </row>
    <row r="241" spans="8:8" ht="15.75" customHeight="1">
      <c r="H241" s="67"/>
    </row>
    <row r="242" spans="8:8" ht="15.75" customHeight="1">
      <c r="H242" s="67"/>
    </row>
    <row r="243" spans="8:8" ht="15.75" customHeight="1">
      <c r="H243" s="67"/>
    </row>
    <row r="244" spans="8:8" ht="15.75" customHeight="1">
      <c r="H244" s="67"/>
    </row>
    <row r="245" spans="8:8" ht="15.75" customHeight="1">
      <c r="H245" s="67"/>
    </row>
    <row r="246" spans="8:8" ht="15.75" customHeight="1">
      <c r="H246" s="67"/>
    </row>
    <row r="247" spans="8:8" ht="15.75" customHeight="1">
      <c r="H247" s="67"/>
    </row>
    <row r="248" spans="8:8" ht="15.75" customHeight="1">
      <c r="H248" s="67"/>
    </row>
    <row r="249" spans="8:8" ht="15.75" customHeight="1">
      <c r="H249" s="67"/>
    </row>
    <row r="250" spans="8:8" ht="15.75" customHeight="1">
      <c r="H250" s="67"/>
    </row>
    <row r="251" spans="8:8" ht="15.75" customHeight="1">
      <c r="H251" s="67"/>
    </row>
    <row r="252" spans="8:8" ht="15.75" customHeight="1">
      <c r="H252" s="67"/>
    </row>
    <row r="253" spans="8:8" ht="15.75" customHeight="1">
      <c r="H253" s="67"/>
    </row>
    <row r="254" spans="8:8" ht="15.75" customHeight="1">
      <c r="H254" s="67"/>
    </row>
    <row r="255" spans="8:8" ht="15.75" customHeight="1">
      <c r="H255" s="67"/>
    </row>
    <row r="256" spans="8:8" ht="15.75" customHeight="1">
      <c r="H256" s="67"/>
    </row>
    <row r="257" spans="8:8" ht="15.75" customHeight="1">
      <c r="H257" s="67"/>
    </row>
    <row r="258" spans="8:8" ht="15.75" customHeight="1">
      <c r="H258" s="67"/>
    </row>
    <row r="259" spans="8:8" ht="15.75" customHeight="1">
      <c r="H259" s="67"/>
    </row>
    <row r="260" spans="8:8" ht="15.75" customHeight="1">
      <c r="H260" s="67"/>
    </row>
    <row r="261" spans="8:8" ht="15.75" customHeight="1">
      <c r="H261" s="67"/>
    </row>
    <row r="262" spans="8:8" ht="15.75" customHeight="1">
      <c r="H262" s="67"/>
    </row>
    <row r="263" spans="8:8" ht="15.75" customHeight="1">
      <c r="H263" s="67"/>
    </row>
    <row r="264" spans="8:8" ht="15.75" customHeight="1">
      <c r="H264" s="67"/>
    </row>
    <row r="265" spans="8:8" ht="15.75" customHeight="1">
      <c r="H265" s="67"/>
    </row>
    <row r="266" spans="8:8" ht="15.75" customHeight="1">
      <c r="H266" s="67"/>
    </row>
    <row r="267" spans="8:8" ht="15.75" customHeight="1">
      <c r="H267" s="67"/>
    </row>
    <row r="268" spans="8:8" ht="15.75" customHeight="1">
      <c r="H268" s="67"/>
    </row>
    <row r="269" spans="8:8" ht="15.75" customHeight="1">
      <c r="H269" s="67"/>
    </row>
    <row r="270" spans="8:8" ht="15.75" customHeight="1">
      <c r="H270" s="67"/>
    </row>
    <row r="271" spans="8:8" ht="15.75" customHeight="1">
      <c r="H271" s="67"/>
    </row>
    <row r="272" spans="8:8" ht="15.75" customHeight="1">
      <c r="H272" s="67"/>
    </row>
    <row r="273" spans="8:8" ht="15.75" customHeight="1">
      <c r="H273" s="67"/>
    </row>
    <row r="274" spans="8:8" ht="15.75" customHeight="1">
      <c r="H274" s="67"/>
    </row>
    <row r="275" spans="8:8" ht="15.75" customHeight="1">
      <c r="H275" s="67"/>
    </row>
    <row r="276" spans="8:8" ht="15.75" customHeight="1">
      <c r="H276" s="67"/>
    </row>
    <row r="277" spans="8:8" ht="15.75" customHeight="1">
      <c r="H277" s="67"/>
    </row>
    <row r="278" spans="8:8" ht="15.75" customHeight="1">
      <c r="H278" s="67"/>
    </row>
    <row r="279" spans="8:8" ht="15.75" customHeight="1">
      <c r="H279" s="67"/>
    </row>
    <row r="280" spans="8:8" ht="15.75" customHeight="1">
      <c r="H280" s="67"/>
    </row>
    <row r="281" spans="8:8" ht="15.75" customHeight="1">
      <c r="H281" s="67"/>
    </row>
    <row r="282" spans="8:8" ht="15.75" customHeight="1">
      <c r="H282" s="67"/>
    </row>
    <row r="283" spans="8:8" ht="15.75" customHeight="1">
      <c r="H283" s="67"/>
    </row>
    <row r="284" spans="8:8" ht="15.75" customHeight="1">
      <c r="H284" s="67"/>
    </row>
    <row r="285" spans="8:8" ht="15.75" customHeight="1">
      <c r="H285" s="67"/>
    </row>
    <row r="286" spans="8:8" ht="15.75" customHeight="1">
      <c r="H286" s="67"/>
    </row>
    <row r="287" spans="8:8" ht="15.75" customHeight="1">
      <c r="H287" s="67"/>
    </row>
    <row r="288" spans="8:8" ht="15.75" customHeight="1">
      <c r="H288" s="67"/>
    </row>
    <row r="289" spans="8:8" ht="15.75" customHeight="1">
      <c r="H289" s="67"/>
    </row>
    <row r="290" spans="8:8" ht="15.75" customHeight="1">
      <c r="H290" s="67"/>
    </row>
    <row r="291" spans="8:8" ht="15.75" customHeight="1">
      <c r="H291" s="67"/>
    </row>
    <row r="292" spans="8:8" ht="15.75" customHeight="1">
      <c r="H292" s="67"/>
    </row>
    <row r="293" spans="8:8" ht="15.75" customHeight="1">
      <c r="H293" s="67"/>
    </row>
    <row r="294" spans="8:8" ht="15.75" customHeight="1">
      <c r="H294" s="67"/>
    </row>
    <row r="295" spans="8:8" ht="15.75" customHeight="1">
      <c r="H295" s="67"/>
    </row>
    <row r="296" spans="8:8" ht="15.75" customHeight="1">
      <c r="H296" s="67"/>
    </row>
    <row r="297" spans="8:8" ht="15.75" customHeight="1">
      <c r="H297" s="67"/>
    </row>
    <row r="298" spans="8:8" ht="15.75" customHeight="1">
      <c r="H298" s="67"/>
    </row>
    <row r="299" spans="8:8" ht="15.75" customHeight="1">
      <c r="H299" s="67"/>
    </row>
    <row r="300" spans="8:8" ht="15.75" customHeight="1">
      <c r="H300" s="67"/>
    </row>
    <row r="301" spans="8:8" ht="15.75" customHeight="1">
      <c r="H301" s="67"/>
    </row>
    <row r="302" spans="8:8" ht="15.75" customHeight="1">
      <c r="H302" s="67"/>
    </row>
    <row r="303" spans="8:8" ht="15.75" customHeight="1">
      <c r="H303" s="67"/>
    </row>
    <row r="304" spans="8:8" ht="15.75" customHeight="1">
      <c r="H304" s="67"/>
    </row>
    <row r="305" spans="8:8" ht="15.75" customHeight="1">
      <c r="H305" s="67"/>
    </row>
    <row r="306" spans="8:8" ht="15.75" customHeight="1">
      <c r="H306" s="67"/>
    </row>
    <row r="307" spans="8:8" ht="15.75" customHeight="1">
      <c r="H307" s="67"/>
    </row>
    <row r="308" spans="8:8" ht="15.75" customHeight="1">
      <c r="H308" s="67"/>
    </row>
    <row r="309" spans="8:8" ht="15.75" customHeight="1">
      <c r="H309" s="67"/>
    </row>
    <row r="310" spans="8:8" ht="15.75" customHeight="1">
      <c r="H310" s="67"/>
    </row>
    <row r="311" spans="8:8" ht="15.75" customHeight="1">
      <c r="H311" s="67"/>
    </row>
    <row r="312" spans="8:8" ht="15.75" customHeight="1">
      <c r="H312" s="67"/>
    </row>
    <row r="313" spans="8:8" ht="15.75" customHeight="1">
      <c r="H313" s="67"/>
    </row>
    <row r="314" spans="8:8" ht="15.75" customHeight="1">
      <c r="H314" s="67"/>
    </row>
    <row r="315" spans="8:8" ht="15.75" customHeight="1">
      <c r="H315" s="67"/>
    </row>
    <row r="316" spans="8:8" ht="15.75" customHeight="1">
      <c r="H316" s="67"/>
    </row>
    <row r="317" spans="8:8" ht="15.75" customHeight="1">
      <c r="H317" s="67"/>
    </row>
    <row r="318" spans="8:8" ht="15.75" customHeight="1">
      <c r="H318" s="67"/>
    </row>
    <row r="319" spans="8:8" ht="15.75" customHeight="1">
      <c r="H319" s="67"/>
    </row>
    <row r="320" spans="8:8" ht="15.75" customHeight="1">
      <c r="H320" s="67"/>
    </row>
    <row r="321" spans="8:8" ht="15.75" customHeight="1">
      <c r="H321" s="67"/>
    </row>
    <row r="322" spans="8:8" ht="15.75" customHeight="1">
      <c r="H322" s="67"/>
    </row>
    <row r="323" spans="8:8" ht="15.75" customHeight="1">
      <c r="H323" s="67"/>
    </row>
    <row r="324" spans="8:8" ht="15.75" customHeight="1">
      <c r="H324" s="67"/>
    </row>
    <row r="325" spans="8:8" ht="15.75" customHeight="1">
      <c r="H325" s="67"/>
    </row>
    <row r="326" spans="8:8" ht="15.75" customHeight="1">
      <c r="H326" s="67"/>
    </row>
    <row r="327" spans="8:8" ht="15.75" customHeight="1">
      <c r="H327" s="67"/>
    </row>
    <row r="328" spans="8:8" ht="15.75" customHeight="1">
      <c r="H328" s="67"/>
    </row>
    <row r="329" spans="8:8" ht="15.75" customHeight="1">
      <c r="H329" s="67"/>
    </row>
    <row r="330" spans="8:8" ht="15.75" customHeight="1">
      <c r="H330" s="67"/>
    </row>
    <row r="331" spans="8:8" ht="15.75" customHeight="1">
      <c r="H331" s="67"/>
    </row>
    <row r="332" spans="8:8" ht="15.75" customHeight="1">
      <c r="H332" s="67"/>
    </row>
    <row r="333" spans="8:8" ht="15.75" customHeight="1">
      <c r="H333" s="67"/>
    </row>
    <row r="334" spans="8:8" ht="15.75" customHeight="1">
      <c r="H334" s="67"/>
    </row>
    <row r="335" spans="8:8" ht="15.75" customHeight="1">
      <c r="H335" s="67"/>
    </row>
    <row r="336" spans="8:8" ht="15.75" customHeight="1">
      <c r="H336" s="67"/>
    </row>
    <row r="337" spans="8:8" ht="15.75" customHeight="1">
      <c r="H337" s="67"/>
    </row>
    <row r="338" spans="8:8" ht="15.75" customHeight="1">
      <c r="H338" s="67"/>
    </row>
    <row r="339" spans="8:8" ht="15.75" customHeight="1">
      <c r="H339" s="67"/>
    </row>
    <row r="340" spans="8:8" ht="15.75" customHeight="1">
      <c r="H340" s="67"/>
    </row>
    <row r="341" spans="8:8" ht="15.75" customHeight="1">
      <c r="H341" s="67"/>
    </row>
    <row r="342" spans="8:8" ht="15.75" customHeight="1">
      <c r="H342" s="67"/>
    </row>
    <row r="343" spans="8:8" ht="15.75" customHeight="1">
      <c r="H343" s="67"/>
    </row>
    <row r="344" spans="8:8" ht="15.75" customHeight="1">
      <c r="H344" s="67"/>
    </row>
    <row r="345" spans="8:8" ht="15.75" customHeight="1">
      <c r="H345" s="67"/>
    </row>
    <row r="346" spans="8:8" ht="15.75" customHeight="1">
      <c r="H346" s="67"/>
    </row>
    <row r="347" spans="8:8" ht="15.75" customHeight="1">
      <c r="H347" s="67"/>
    </row>
    <row r="348" spans="8:8" ht="15.75" customHeight="1">
      <c r="H348" s="67"/>
    </row>
    <row r="349" spans="8:8" ht="15.75" customHeight="1">
      <c r="H349" s="67"/>
    </row>
    <row r="350" spans="8:8" ht="15.75" customHeight="1">
      <c r="H350" s="67"/>
    </row>
    <row r="351" spans="8:8" ht="15.75" customHeight="1">
      <c r="H351" s="67"/>
    </row>
    <row r="352" spans="8:8" ht="15.75" customHeight="1">
      <c r="H352" s="67"/>
    </row>
    <row r="353" spans="8:8" ht="15.75" customHeight="1">
      <c r="H353" s="67"/>
    </row>
    <row r="354" spans="8:8" ht="15.75" customHeight="1">
      <c r="H354" s="67"/>
    </row>
    <row r="355" spans="8:8" ht="15.75" customHeight="1">
      <c r="H355" s="67"/>
    </row>
    <row r="356" spans="8:8" ht="15.75" customHeight="1">
      <c r="H356" s="67"/>
    </row>
    <row r="357" spans="8:8" ht="15.75" customHeight="1">
      <c r="H357" s="67"/>
    </row>
    <row r="358" spans="8:8" ht="15.75" customHeight="1">
      <c r="H358" s="67"/>
    </row>
    <row r="359" spans="8:8" ht="15.75" customHeight="1">
      <c r="H359" s="67"/>
    </row>
    <row r="360" spans="8:8" ht="15.75" customHeight="1">
      <c r="H360" s="67"/>
    </row>
    <row r="361" spans="8:8" ht="15.75" customHeight="1">
      <c r="H361" s="67"/>
    </row>
    <row r="362" spans="8:8" ht="15.75" customHeight="1">
      <c r="H362" s="67"/>
    </row>
    <row r="363" spans="8:8" ht="15.75" customHeight="1">
      <c r="H363" s="67"/>
    </row>
    <row r="364" spans="8:8" ht="15.75" customHeight="1">
      <c r="H364" s="67"/>
    </row>
    <row r="365" spans="8:8" ht="15.75" customHeight="1">
      <c r="H365" s="67"/>
    </row>
    <row r="366" spans="8:8" ht="15.75" customHeight="1">
      <c r="H366" s="67"/>
    </row>
    <row r="367" spans="8:8" ht="15.75" customHeight="1">
      <c r="H367" s="67"/>
    </row>
    <row r="368" spans="8:8" ht="15.75" customHeight="1">
      <c r="H368" s="67"/>
    </row>
    <row r="369" spans="8:8" ht="15.75" customHeight="1">
      <c r="H369" s="67"/>
    </row>
    <row r="370" spans="8:8" ht="15.75" customHeight="1">
      <c r="H370" s="67"/>
    </row>
    <row r="371" spans="8:8" ht="15.75" customHeight="1">
      <c r="H371" s="67"/>
    </row>
    <row r="372" spans="8:8" ht="15.75" customHeight="1">
      <c r="H372" s="67"/>
    </row>
    <row r="373" spans="8:8" ht="15.75" customHeight="1">
      <c r="H373" s="67"/>
    </row>
    <row r="374" spans="8:8" ht="15.75" customHeight="1">
      <c r="H374" s="67"/>
    </row>
    <row r="375" spans="8:8" ht="15.75" customHeight="1">
      <c r="H375" s="67"/>
    </row>
    <row r="376" spans="8:8" ht="15.75" customHeight="1">
      <c r="H376" s="67"/>
    </row>
    <row r="377" spans="8:8" ht="15.75" customHeight="1">
      <c r="H377" s="67"/>
    </row>
    <row r="378" spans="8:8" ht="15.75" customHeight="1">
      <c r="H378" s="67"/>
    </row>
    <row r="379" spans="8:8" ht="15.75" customHeight="1">
      <c r="H379" s="67"/>
    </row>
    <row r="380" spans="8:8" ht="15.75" customHeight="1">
      <c r="H380" s="67"/>
    </row>
    <row r="381" spans="8:8" ht="15.75" customHeight="1">
      <c r="H381" s="67"/>
    </row>
    <row r="382" spans="8:8" ht="15.75" customHeight="1">
      <c r="H382" s="67"/>
    </row>
    <row r="383" spans="8:8" ht="15.75" customHeight="1">
      <c r="H383" s="67"/>
    </row>
    <row r="384" spans="8:8" ht="15.75" customHeight="1">
      <c r="H384" s="67"/>
    </row>
    <row r="385" spans="8:8" ht="15.75" customHeight="1">
      <c r="H385" s="67"/>
    </row>
    <row r="386" spans="8:8" ht="15.75" customHeight="1">
      <c r="H386" s="67"/>
    </row>
    <row r="387" spans="8:8" ht="15.75" customHeight="1">
      <c r="H387" s="67"/>
    </row>
    <row r="388" spans="8:8" ht="15.75" customHeight="1">
      <c r="H388" s="67"/>
    </row>
    <row r="389" spans="8:8" ht="15.75" customHeight="1">
      <c r="H389" s="67"/>
    </row>
    <row r="390" spans="8:8" ht="15.75" customHeight="1">
      <c r="H390" s="67"/>
    </row>
    <row r="391" spans="8:8" ht="15.75" customHeight="1">
      <c r="H391" s="67"/>
    </row>
    <row r="392" spans="8:8" ht="15.75" customHeight="1">
      <c r="H392" s="67"/>
    </row>
    <row r="393" spans="8:8" ht="15.75" customHeight="1">
      <c r="H393" s="67"/>
    </row>
    <row r="394" spans="8:8" ht="15.75" customHeight="1">
      <c r="H394" s="67"/>
    </row>
    <row r="395" spans="8:8" ht="15.75" customHeight="1">
      <c r="H395" s="67"/>
    </row>
    <row r="396" spans="8:8" ht="15.75" customHeight="1">
      <c r="H396" s="67"/>
    </row>
    <row r="397" spans="8:8" ht="15.75" customHeight="1">
      <c r="H397" s="67"/>
    </row>
    <row r="398" spans="8:8" ht="15.75" customHeight="1">
      <c r="H398" s="67"/>
    </row>
    <row r="399" spans="8:8" ht="15.75" customHeight="1">
      <c r="H399" s="67"/>
    </row>
    <row r="400" spans="8:8" ht="15.75" customHeight="1">
      <c r="H400" s="67"/>
    </row>
    <row r="401" spans="8:8" ht="15.75" customHeight="1">
      <c r="H401" s="67"/>
    </row>
    <row r="402" spans="8:8" ht="15.75" customHeight="1">
      <c r="H402" s="67"/>
    </row>
    <row r="403" spans="8:8" ht="15.75" customHeight="1">
      <c r="H403" s="67"/>
    </row>
    <row r="404" spans="8:8" ht="15.75" customHeight="1">
      <c r="H404" s="67"/>
    </row>
    <row r="405" spans="8:8" ht="15.75" customHeight="1">
      <c r="H405" s="67"/>
    </row>
    <row r="406" spans="8:8" ht="15.75" customHeight="1">
      <c r="H406" s="67"/>
    </row>
    <row r="407" spans="8:8" ht="15.75" customHeight="1">
      <c r="H407" s="67"/>
    </row>
    <row r="408" spans="8:8" ht="15.75" customHeight="1">
      <c r="H408" s="67"/>
    </row>
    <row r="409" spans="8:8" ht="15.75" customHeight="1">
      <c r="H409" s="67"/>
    </row>
    <row r="410" spans="8:8" ht="15.75" customHeight="1">
      <c r="H410" s="67"/>
    </row>
    <row r="411" spans="8:8" ht="15.75" customHeight="1">
      <c r="H411" s="67"/>
    </row>
    <row r="412" spans="8:8" ht="15.75" customHeight="1">
      <c r="H412" s="67"/>
    </row>
    <row r="413" spans="8:8" ht="15.75" customHeight="1">
      <c r="H413" s="67"/>
    </row>
    <row r="414" spans="8:8" ht="15.75" customHeight="1">
      <c r="H414" s="67"/>
    </row>
    <row r="415" spans="8:8" ht="15.75" customHeight="1">
      <c r="H415" s="67"/>
    </row>
    <row r="416" spans="8:8" ht="15.75" customHeight="1">
      <c r="H416" s="67"/>
    </row>
    <row r="417" spans="8:8" ht="15.75" customHeight="1">
      <c r="H417" s="67"/>
    </row>
    <row r="418" spans="8:8" ht="15.75" customHeight="1">
      <c r="H418" s="67"/>
    </row>
    <row r="419" spans="8:8" ht="15.75" customHeight="1">
      <c r="H419" s="67"/>
    </row>
    <row r="420" spans="8:8" ht="15.75" customHeight="1">
      <c r="H420" s="67"/>
    </row>
    <row r="421" spans="8:8" ht="15.75" customHeight="1">
      <c r="H421" s="67"/>
    </row>
    <row r="422" spans="8:8" ht="15.75" customHeight="1">
      <c r="H422" s="67"/>
    </row>
    <row r="423" spans="8:8" ht="15.75" customHeight="1">
      <c r="H423" s="67"/>
    </row>
    <row r="424" spans="8:8" ht="15.75" customHeight="1">
      <c r="H424" s="67"/>
    </row>
    <row r="425" spans="8:8" ht="15.75" customHeight="1">
      <c r="H425" s="67"/>
    </row>
    <row r="426" spans="8:8" ht="15.75" customHeight="1">
      <c r="H426" s="67"/>
    </row>
    <row r="427" spans="8:8" ht="15.75" customHeight="1">
      <c r="H427" s="67"/>
    </row>
    <row r="428" spans="8:8" ht="15.75" customHeight="1">
      <c r="H428" s="67"/>
    </row>
    <row r="429" spans="8:8" ht="15.75" customHeight="1">
      <c r="H429" s="67"/>
    </row>
    <row r="430" spans="8:8" ht="15.75" customHeight="1">
      <c r="H430" s="67"/>
    </row>
    <row r="431" spans="8:8" ht="15.75" customHeight="1">
      <c r="H431" s="67"/>
    </row>
    <row r="432" spans="8:8" ht="15.75" customHeight="1">
      <c r="H432" s="67"/>
    </row>
    <row r="433" spans="8:8" ht="15.75" customHeight="1">
      <c r="H433" s="67"/>
    </row>
    <row r="434" spans="8:8" ht="15.75" customHeight="1">
      <c r="H434" s="67"/>
    </row>
    <row r="435" spans="8:8" ht="15.75" customHeight="1">
      <c r="H435" s="67"/>
    </row>
    <row r="436" spans="8:8" ht="15.75" customHeight="1">
      <c r="H436" s="67"/>
    </row>
    <row r="437" spans="8:8" ht="15.75" customHeight="1">
      <c r="H437" s="67"/>
    </row>
    <row r="438" spans="8:8" ht="15.75" customHeight="1">
      <c r="H438" s="67"/>
    </row>
    <row r="439" spans="8:8" ht="15.75" customHeight="1">
      <c r="H439" s="67"/>
    </row>
    <row r="440" spans="8:8" ht="15.75" customHeight="1">
      <c r="H440" s="67"/>
    </row>
    <row r="441" spans="8:8" ht="15.75" customHeight="1">
      <c r="H441" s="67"/>
    </row>
    <row r="442" spans="8:8" ht="15.75" customHeight="1">
      <c r="H442" s="67"/>
    </row>
    <row r="443" spans="8:8" ht="15.75" customHeight="1">
      <c r="H443" s="67"/>
    </row>
    <row r="444" spans="8:8" ht="15.75" customHeight="1">
      <c r="H444" s="67"/>
    </row>
    <row r="445" spans="8:8" ht="15.75" customHeight="1">
      <c r="H445" s="67"/>
    </row>
    <row r="446" spans="8:8" ht="15.75" customHeight="1">
      <c r="H446" s="67"/>
    </row>
    <row r="447" spans="8:8" ht="15.75" customHeight="1">
      <c r="H447" s="67"/>
    </row>
    <row r="448" spans="8:8" ht="15.75" customHeight="1">
      <c r="H448" s="67"/>
    </row>
    <row r="449" spans="8:8" ht="15.75" customHeight="1">
      <c r="H449" s="67"/>
    </row>
    <row r="450" spans="8:8" ht="15.75" customHeight="1">
      <c r="H450" s="67"/>
    </row>
    <row r="451" spans="8:8" ht="15.75" customHeight="1">
      <c r="H451" s="67"/>
    </row>
    <row r="452" spans="8:8" ht="15.75" customHeight="1">
      <c r="H452" s="67"/>
    </row>
    <row r="453" spans="8:8" ht="15.75" customHeight="1">
      <c r="H453" s="67"/>
    </row>
    <row r="454" spans="8:8" ht="15.75" customHeight="1">
      <c r="H454" s="67"/>
    </row>
    <row r="455" spans="8:8" ht="15.75" customHeight="1">
      <c r="H455" s="67"/>
    </row>
    <row r="456" spans="8:8" ht="15.75" customHeight="1">
      <c r="H456" s="67"/>
    </row>
    <row r="457" spans="8:8" ht="15.75" customHeight="1">
      <c r="H457" s="67"/>
    </row>
    <row r="458" spans="8:8" ht="15.75" customHeight="1">
      <c r="H458" s="67"/>
    </row>
    <row r="459" spans="8:8" ht="15.75" customHeight="1">
      <c r="H459" s="67"/>
    </row>
    <row r="460" spans="8:8" ht="15.75" customHeight="1">
      <c r="H460" s="67"/>
    </row>
    <row r="461" spans="8:8" ht="15.75" customHeight="1">
      <c r="H461" s="67"/>
    </row>
    <row r="462" spans="8:8" ht="15.75" customHeight="1">
      <c r="H462" s="67"/>
    </row>
    <row r="463" spans="8:8" ht="15.75" customHeight="1">
      <c r="H463" s="67"/>
    </row>
    <row r="464" spans="8:8" ht="15.75" customHeight="1">
      <c r="H464" s="67"/>
    </row>
    <row r="465" spans="8:8" ht="15.75" customHeight="1">
      <c r="H465" s="67"/>
    </row>
    <row r="466" spans="8:8" ht="15.75" customHeight="1">
      <c r="H466" s="67"/>
    </row>
    <row r="467" spans="8:8" ht="15.75" customHeight="1">
      <c r="H467" s="67"/>
    </row>
    <row r="468" spans="8:8" ht="15.75" customHeight="1">
      <c r="H468" s="67"/>
    </row>
    <row r="469" spans="8:8" ht="15.75" customHeight="1">
      <c r="H469" s="67"/>
    </row>
    <row r="470" spans="8:8" ht="15.75" customHeight="1">
      <c r="H470" s="67"/>
    </row>
    <row r="471" spans="8:8" ht="15.75" customHeight="1">
      <c r="H471" s="67"/>
    </row>
    <row r="472" spans="8:8" ht="15.75" customHeight="1">
      <c r="H472" s="67"/>
    </row>
    <row r="473" spans="8:8" ht="15.75" customHeight="1">
      <c r="H473" s="67"/>
    </row>
    <row r="474" spans="8:8" ht="15.75" customHeight="1">
      <c r="H474" s="67"/>
    </row>
    <row r="475" spans="8:8" ht="15.75" customHeight="1">
      <c r="H475" s="67"/>
    </row>
    <row r="476" spans="8:8" ht="15.75" customHeight="1">
      <c r="H476" s="67"/>
    </row>
    <row r="477" spans="8:8" ht="15.75" customHeight="1">
      <c r="H477" s="67"/>
    </row>
    <row r="478" spans="8:8" ht="15.75" customHeight="1">
      <c r="H478" s="67"/>
    </row>
    <row r="479" spans="8:8" ht="15.75" customHeight="1">
      <c r="H479" s="67"/>
    </row>
    <row r="480" spans="8:8" ht="15.75" customHeight="1">
      <c r="H480" s="67"/>
    </row>
    <row r="481" spans="8:8" ht="15.75" customHeight="1">
      <c r="H481" s="67"/>
    </row>
    <row r="482" spans="8:8" ht="15.75" customHeight="1">
      <c r="H482" s="67"/>
    </row>
    <row r="483" spans="8:8" ht="15.75" customHeight="1">
      <c r="H483" s="67"/>
    </row>
    <row r="484" spans="8:8" ht="15.75" customHeight="1">
      <c r="H484" s="67"/>
    </row>
    <row r="485" spans="8:8" ht="15.75" customHeight="1">
      <c r="H485" s="67"/>
    </row>
    <row r="486" spans="8:8" ht="15.75" customHeight="1">
      <c r="H486" s="67"/>
    </row>
    <row r="487" spans="8:8" ht="15.75" customHeight="1">
      <c r="H487" s="67"/>
    </row>
    <row r="488" spans="8:8" ht="15.75" customHeight="1">
      <c r="H488" s="67"/>
    </row>
    <row r="489" spans="8:8" ht="15.75" customHeight="1">
      <c r="H489" s="67"/>
    </row>
    <row r="490" spans="8:8" ht="15.75" customHeight="1">
      <c r="H490" s="67"/>
    </row>
    <row r="491" spans="8:8" ht="15.75" customHeight="1">
      <c r="H491" s="67"/>
    </row>
    <row r="492" spans="8:8" ht="15.75" customHeight="1">
      <c r="H492" s="67"/>
    </row>
    <row r="493" spans="8:8" ht="15.75" customHeight="1">
      <c r="H493" s="67"/>
    </row>
    <row r="494" spans="8:8" ht="15.75" customHeight="1">
      <c r="H494" s="67"/>
    </row>
    <row r="495" spans="8:8" ht="15.75" customHeight="1">
      <c r="H495" s="67"/>
    </row>
    <row r="496" spans="8:8" ht="15.75" customHeight="1">
      <c r="H496" s="67"/>
    </row>
    <row r="497" spans="8:8" ht="15.75" customHeight="1">
      <c r="H497" s="67"/>
    </row>
    <row r="498" spans="8:8" ht="15.75" customHeight="1">
      <c r="H498" s="67"/>
    </row>
    <row r="499" spans="8:8" ht="15.75" customHeight="1">
      <c r="H499" s="67"/>
    </row>
    <row r="500" spans="8:8" ht="15.75" customHeight="1">
      <c r="H500" s="67"/>
    </row>
    <row r="501" spans="8:8" ht="15.75" customHeight="1">
      <c r="H501" s="67"/>
    </row>
    <row r="502" spans="8:8" ht="15.75" customHeight="1">
      <c r="H502" s="67"/>
    </row>
    <row r="503" spans="8:8" ht="15.75" customHeight="1">
      <c r="H503" s="67"/>
    </row>
    <row r="504" spans="8:8" ht="15.75" customHeight="1">
      <c r="H504" s="67"/>
    </row>
    <row r="505" spans="8:8" ht="15.75" customHeight="1">
      <c r="H505" s="67"/>
    </row>
    <row r="506" spans="8:8" ht="15.75" customHeight="1">
      <c r="H506" s="67"/>
    </row>
    <row r="507" spans="8:8" ht="15.75" customHeight="1">
      <c r="H507" s="67"/>
    </row>
    <row r="508" spans="8:8" ht="15.75" customHeight="1">
      <c r="H508" s="67"/>
    </row>
    <row r="509" spans="8:8" ht="15.75" customHeight="1">
      <c r="H509" s="67"/>
    </row>
    <row r="510" spans="8:8" ht="15.75" customHeight="1">
      <c r="H510" s="67"/>
    </row>
    <row r="511" spans="8:8" ht="15.75" customHeight="1">
      <c r="H511" s="67"/>
    </row>
    <row r="512" spans="8:8" ht="15.75" customHeight="1">
      <c r="H512" s="67"/>
    </row>
    <row r="513" spans="8:8" ht="15.75" customHeight="1">
      <c r="H513" s="67"/>
    </row>
    <row r="514" spans="8:8" ht="15.75" customHeight="1">
      <c r="H514" s="67"/>
    </row>
    <row r="515" spans="8:8" ht="15.75" customHeight="1">
      <c r="H515" s="67"/>
    </row>
    <row r="516" spans="8:8" ht="15.75" customHeight="1">
      <c r="H516" s="67"/>
    </row>
    <row r="517" spans="8:8" ht="15.75" customHeight="1">
      <c r="H517" s="67"/>
    </row>
    <row r="518" spans="8:8" ht="15.75" customHeight="1">
      <c r="H518" s="67"/>
    </row>
    <row r="519" spans="8:8" ht="15.75" customHeight="1">
      <c r="H519" s="67"/>
    </row>
    <row r="520" spans="8:8" ht="15.75" customHeight="1">
      <c r="H520" s="67"/>
    </row>
    <row r="521" spans="8:8" ht="15.75" customHeight="1">
      <c r="H521" s="67"/>
    </row>
    <row r="522" spans="8:8" ht="15.75" customHeight="1">
      <c r="H522" s="67"/>
    </row>
    <row r="523" spans="8:8" ht="15.75" customHeight="1">
      <c r="H523" s="67"/>
    </row>
    <row r="524" spans="8:8" ht="15.75" customHeight="1">
      <c r="H524" s="67"/>
    </row>
    <row r="525" spans="8:8" ht="15.75" customHeight="1">
      <c r="H525" s="67"/>
    </row>
    <row r="526" spans="8:8" ht="15.75" customHeight="1">
      <c r="H526" s="67"/>
    </row>
    <row r="527" spans="8:8" ht="15.75" customHeight="1">
      <c r="H527" s="67"/>
    </row>
    <row r="528" spans="8:8" ht="15.75" customHeight="1">
      <c r="H528" s="67"/>
    </row>
    <row r="529" spans="8:8" ht="15.75" customHeight="1">
      <c r="H529" s="67"/>
    </row>
    <row r="530" spans="8:8" ht="15.75" customHeight="1">
      <c r="H530" s="67"/>
    </row>
    <row r="531" spans="8:8" ht="15.75" customHeight="1">
      <c r="H531" s="67"/>
    </row>
    <row r="532" spans="8:8" ht="15.75" customHeight="1">
      <c r="H532" s="67"/>
    </row>
    <row r="533" spans="8:8" ht="15.75" customHeight="1">
      <c r="H533" s="67"/>
    </row>
    <row r="534" spans="8:8" ht="15.75" customHeight="1">
      <c r="H534" s="67"/>
    </row>
    <row r="535" spans="8:8" ht="15.75" customHeight="1">
      <c r="H535" s="67"/>
    </row>
    <row r="536" spans="8:8" ht="15.75" customHeight="1">
      <c r="H536" s="67"/>
    </row>
    <row r="537" spans="8:8" ht="15.75" customHeight="1">
      <c r="H537" s="67"/>
    </row>
    <row r="538" spans="8:8" ht="15.75" customHeight="1">
      <c r="H538" s="67"/>
    </row>
    <row r="539" spans="8:8" ht="15.75" customHeight="1">
      <c r="H539" s="67"/>
    </row>
    <row r="540" spans="8:8" ht="15.75" customHeight="1">
      <c r="H540" s="67"/>
    </row>
    <row r="541" spans="8:8" ht="15.75" customHeight="1">
      <c r="H541" s="67"/>
    </row>
    <row r="542" spans="8:8" ht="15.75" customHeight="1">
      <c r="H542" s="67"/>
    </row>
    <row r="543" spans="8:8" ht="15.75" customHeight="1">
      <c r="H543" s="67"/>
    </row>
    <row r="544" spans="8:8" ht="15.75" customHeight="1">
      <c r="H544" s="67"/>
    </row>
    <row r="545" spans="8:8" ht="15.75" customHeight="1">
      <c r="H545" s="67"/>
    </row>
    <row r="546" spans="8:8" ht="15.75" customHeight="1">
      <c r="H546" s="67"/>
    </row>
    <row r="547" spans="8:8" ht="15.75" customHeight="1">
      <c r="H547" s="67"/>
    </row>
    <row r="548" spans="8:8" ht="15.75" customHeight="1">
      <c r="H548" s="67"/>
    </row>
    <row r="549" spans="8:8" ht="15.75" customHeight="1">
      <c r="H549" s="67"/>
    </row>
    <row r="550" spans="8:8" ht="15.75" customHeight="1">
      <c r="H550" s="67"/>
    </row>
    <row r="551" spans="8:8" ht="15.75" customHeight="1">
      <c r="H551" s="67"/>
    </row>
    <row r="552" spans="8:8" ht="15.75" customHeight="1">
      <c r="H552" s="67"/>
    </row>
    <row r="553" spans="8:8" ht="15.75" customHeight="1">
      <c r="H553" s="67"/>
    </row>
    <row r="554" spans="8:8" ht="15.75" customHeight="1">
      <c r="H554" s="67"/>
    </row>
    <row r="555" spans="8:8" ht="15.75" customHeight="1">
      <c r="H555" s="67"/>
    </row>
    <row r="556" spans="8:8" ht="15.75" customHeight="1">
      <c r="H556" s="67"/>
    </row>
    <row r="557" spans="8:8" ht="15.75" customHeight="1">
      <c r="H557" s="67"/>
    </row>
    <row r="558" spans="8:8" ht="15.75" customHeight="1">
      <c r="H558" s="67"/>
    </row>
    <row r="559" spans="8:8" ht="15.75" customHeight="1">
      <c r="H559" s="67"/>
    </row>
    <row r="560" spans="8:8" ht="15.75" customHeight="1">
      <c r="H560" s="67"/>
    </row>
    <row r="561" spans="8:8" ht="15.75" customHeight="1">
      <c r="H561" s="67"/>
    </row>
    <row r="562" spans="8:8" ht="15.75" customHeight="1">
      <c r="H562" s="67"/>
    </row>
    <row r="563" spans="8:8" ht="15.75" customHeight="1">
      <c r="H563" s="67"/>
    </row>
    <row r="564" spans="8:8" ht="15.75" customHeight="1">
      <c r="H564" s="67"/>
    </row>
    <row r="565" spans="8:8" ht="15.75" customHeight="1">
      <c r="H565" s="67"/>
    </row>
    <row r="566" spans="8:8" ht="15.75" customHeight="1">
      <c r="H566" s="67"/>
    </row>
    <row r="567" spans="8:8" ht="15.75" customHeight="1">
      <c r="H567" s="67"/>
    </row>
    <row r="568" spans="8:8" ht="15.75" customHeight="1">
      <c r="H568" s="67"/>
    </row>
    <row r="569" spans="8:8" ht="15.75" customHeight="1">
      <c r="H569" s="67"/>
    </row>
    <row r="570" spans="8:8" ht="15.75" customHeight="1">
      <c r="H570" s="67"/>
    </row>
    <row r="571" spans="8:8" ht="15.75" customHeight="1">
      <c r="H571" s="67"/>
    </row>
    <row r="572" spans="8:8" ht="15.75" customHeight="1">
      <c r="H572" s="67"/>
    </row>
    <row r="573" spans="8:8" ht="15.75" customHeight="1">
      <c r="H573" s="67"/>
    </row>
    <row r="574" spans="8:8" ht="15.75" customHeight="1">
      <c r="H574" s="67"/>
    </row>
    <row r="575" spans="8:8" ht="15.75" customHeight="1">
      <c r="H575" s="67"/>
    </row>
    <row r="576" spans="8:8" ht="15.75" customHeight="1">
      <c r="H576" s="67"/>
    </row>
    <row r="577" spans="8:8" ht="15.75" customHeight="1">
      <c r="H577" s="67"/>
    </row>
    <row r="578" spans="8:8" ht="15.75" customHeight="1">
      <c r="H578" s="67"/>
    </row>
    <row r="579" spans="8:8" ht="15.75" customHeight="1">
      <c r="H579" s="67"/>
    </row>
    <row r="580" spans="8:8" ht="15.75" customHeight="1">
      <c r="H580" s="67"/>
    </row>
    <row r="581" spans="8:8" ht="15.75" customHeight="1">
      <c r="H581" s="67"/>
    </row>
    <row r="582" spans="8:8" ht="15.75" customHeight="1">
      <c r="H582" s="67"/>
    </row>
    <row r="583" spans="8:8" ht="15.75" customHeight="1">
      <c r="H583" s="67"/>
    </row>
    <row r="584" spans="8:8" ht="15.75" customHeight="1">
      <c r="H584" s="67"/>
    </row>
    <row r="585" spans="8:8" ht="15.75" customHeight="1">
      <c r="H585" s="67"/>
    </row>
    <row r="586" spans="8:8" ht="15.75" customHeight="1">
      <c r="H586" s="67"/>
    </row>
    <row r="587" spans="8:8" ht="15.75" customHeight="1">
      <c r="H587" s="67"/>
    </row>
    <row r="588" spans="8:8" ht="15.75" customHeight="1">
      <c r="H588" s="67"/>
    </row>
    <row r="589" spans="8:8" ht="15.75" customHeight="1">
      <c r="H589" s="67"/>
    </row>
    <row r="590" spans="8:8" ht="15.75" customHeight="1">
      <c r="H590" s="67"/>
    </row>
    <row r="591" spans="8:8" ht="15.75" customHeight="1">
      <c r="H591" s="67"/>
    </row>
    <row r="592" spans="8:8" ht="15.75" customHeight="1">
      <c r="H592" s="67"/>
    </row>
    <row r="593" spans="8:8" ht="15.75" customHeight="1">
      <c r="H593" s="67"/>
    </row>
    <row r="594" spans="8:8" ht="15.75" customHeight="1">
      <c r="H594" s="67"/>
    </row>
    <row r="595" spans="8:8" ht="15.75" customHeight="1">
      <c r="H595" s="67"/>
    </row>
    <row r="596" spans="8:8" ht="15.75" customHeight="1">
      <c r="H596" s="67"/>
    </row>
    <row r="597" spans="8:8" ht="15.75" customHeight="1">
      <c r="H597" s="67"/>
    </row>
    <row r="598" spans="8:8" ht="15.75" customHeight="1">
      <c r="H598" s="67"/>
    </row>
    <row r="599" spans="8:8" ht="15.75" customHeight="1">
      <c r="H599" s="67"/>
    </row>
    <row r="600" spans="8:8" ht="15.75" customHeight="1">
      <c r="H600" s="67"/>
    </row>
    <row r="601" spans="8:8" ht="15.75" customHeight="1">
      <c r="H601" s="67"/>
    </row>
    <row r="602" spans="8:8" ht="15.75" customHeight="1">
      <c r="H602" s="67"/>
    </row>
    <row r="603" spans="8:8" ht="15.75" customHeight="1">
      <c r="H603" s="67"/>
    </row>
    <row r="604" spans="8:8" ht="15.75" customHeight="1">
      <c r="H604" s="67"/>
    </row>
    <row r="605" spans="8:8" ht="15.75" customHeight="1">
      <c r="H605" s="67"/>
    </row>
    <row r="606" spans="8:8" ht="15.75" customHeight="1">
      <c r="H606" s="67"/>
    </row>
    <row r="607" spans="8:8" ht="15.75" customHeight="1">
      <c r="H607" s="67"/>
    </row>
    <row r="608" spans="8:8" ht="15.75" customHeight="1">
      <c r="H608" s="67"/>
    </row>
    <row r="609" spans="8:8" ht="15.75" customHeight="1">
      <c r="H609" s="67"/>
    </row>
    <row r="610" spans="8:8" ht="15.75" customHeight="1">
      <c r="H610" s="67"/>
    </row>
    <row r="611" spans="8:8" ht="15.75" customHeight="1">
      <c r="H611" s="67"/>
    </row>
    <row r="612" spans="8:8" ht="15.75" customHeight="1">
      <c r="H612" s="67"/>
    </row>
    <row r="613" spans="8:8" ht="15.75" customHeight="1">
      <c r="H613" s="67"/>
    </row>
    <row r="614" spans="8:8" ht="15.75" customHeight="1">
      <c r="H614" s="67"/>
    </row>
    <row r="615" spans="8:8" ht="15.75" customHeight="1">
      <c r="H615" s="67"/>
    </row>
    <row r="616" spans="8:8" ht="15.75" customHeight="1">
      <c r="H616" s="67"/>
    </row>
    <row r="617" spans="8:8" ht="15.75" customHeight="1">
      <c r="H617" s="67"/>
    </row>
    <row r="618" spans="8:8" ht="15.75" customHeight="1">
      <c r="H618" s="67"/>
    </row>
    <row r="619" spans="8:8" ht="15.75" customHeight="1">
      <c r="H619" s="67"/>
    </row>
    <row r="620" spans="8:8" ht="15.75" customHeight="1">
      <c r="H620" s="67"/>
    </row>
    <row r="621" spans="8:8" ht="15.75" customHeight="1">
      <c r="H621" s="67"/>
    </row>
    <row r="622" spans="8:8" ht="15.75" customHeight="1">
      <c r="H622" s="67"/>
    </row>
    <row r="623" spans="8:8" ht="15.75" customHeight="1">
      <c r="H623" s="67"/>
    </row>
    <row r="624" spans="8:8" ht="15.75" customHeight="1">
      <c r="H624" s="67"/>
    </row>
    <row r="625" spans="8:8" ht="15.75" customHeight="1">
      <c r="H625" s="67"/>
    </row>
    <row r="626" spans="8:8" ht="15.75" customHeight="1">
      <c r="H626" s="67"/>
    </row>
    <row r="627" spans="8:8" ht="15.75" customHeight="1">
      <c r="H627" s="67"/>
    </row>
    <row r="628" spans="8:8" ht="15.75" customHeight="1">
      <c r="H628" s="67"/>
    </row>
    <row r="629" spans="8:8" ht="15.75" customHeight="1">
      <c r="H629" s="67"/>
    </row>
    <row r="630" spans="8:8" ht="15.75" customHeight="1">
      <c r="H630" s="67"/>
    </row>
    <row r="631" spans="8:8" ht="15.75" customHeight="1">
      <c r="H631" s="67"/>
    </row>
    <row r="632" spans="8:8" ht="15.75" customHeight="1">
      <c r="H632" s="67"/>
    </row>
    <row r="633" spans="8:8" ht="15.75" customHeight="1">
      <c r="H633" s="67"/>
    </row>
    <row r="634" spans="8:8" ht="15.75" customHeight="1">
      <c r="H634" s="67"/>
    </row>
    <row r="635" spans="8:8" ht="15.75" customHeight="1">
      <c r="H635" s="67"/>
    </row>
    <row r="636" spans="8:8" ht="15.75" customHeight="1">
      <c r="H636" s="67"/>
    </row>
    <row r="637" spans="8:8" ht="15.75" customHeight="1">
      <c r="H637" s="67"/>
    </row>
    <row r="638" spans="8:8" ht="15.75" customHeight="1">
      <c r="H638" s="67"/>
    </row>
    <row r="639" spans="8:8" ht="15.75" customHeight="1">
      <c r="H639" s="67"/>
    </row>
    <row r="640" spans="8:8" ht="15.75" customHeight="1">
      <c r="H640" s="67"/>
    </row>
    <row r="641" spans="8:8" ht="15.75" customHeight="1">
      <c r="H641" s="67"/>
    </row>
    <row r="642" spans="8:8" ht="15.75" customHeight="1">
      <c r="H642" s="67"/>
    </row>
    <row r="643" spans="8:8" ht="15.75" customHeight="1">
      <c r="H643" s="67"/>
    </row>
    <row r="644" spans="8:8" ht="15.75" customHeight="1">
      <c r="H644" s="67"/>
    </row>
    <row r="645" spans="8:8" ht="15.75" customHeight="1">
      <c r="H645" s="67"/>
    </row>
    <row r="646" spans="8:8" ht="15.75" customHeight="1">
      <c r="H646" s="67"/>
    </row>
    <row r="647" spans="8:8" ht="15.75" customHeight="1">
      <c r="H647" s="67"/>
    </row>
    <row r="648" spans="8:8" ht="15.75" customHeight="1">
      <c r="H648" s="67"/>
    </row>
    <row r="649" spans="8:8" ht="15.75" customHeight="1">
      <c r="H649" s="67"/>
    </row>
    <row r="650" spans="8:8" ht="15.75" customHeight="1">
      <c r="H650" s="67"/>
    </row>
    <row r="651" spans="8:8" ht="15.75" customHeight="1">
      <c r="H651" s="67"/>
    </row>
    <row r="652" spans="8:8" ht="15.75" customHeight="1">
      <c r="H652" s="67"/>
    </row>
    <row r="653" spans="8:8" ht="15.75" customHeight="1">
      <c r="H653" s="67"/>
    </row>
    <row r="654" spans="8:8" ht="15.75" customHeight="1">
      <c r="H654" s="67"/>
    </row>
    <row r="655" spans="8:8" ht="15.75" customHeight="1">
      <c r="H655" s="67"/>
    </row>
    <row r="656" spans="8:8" ht="15.75" customHeight="1">
      <c r="H656" s="67"/>
    </row>
    <row r="657" spans="8:8" ht="15.75" customHeight="1">
      <c r="H657" s="67"/>
    </row>
    <row r="658" spans="8:8" ht="15.75" customHeight="1">
      <c r="H658" s="67"/>
    </row>
    <row r="659" spans="8:8" ht="15.75" customHeight="1">
      <c r="H659" s="67"/>
    </row>
    <row r="660" spans="8:8" ht="15.75" customHeight="1">
      <c r="H660" s="67"/>
    </row>
    <row r="661" spans="8:8" ht="15.75" customHeight="1">
      <c r="H661" s="67"/>
    </row>
    <row r="662" spans="8:8" ht="15.75" customHeight="1">
      <c r="H662" s="67"/>
    </row>
    <row r="663" spans="8:8" ht="15.75" customHeight="1">
      <c r="H663" s="67"/>
    </row>
    <row r="664" spans="8:8" ht="15.75" customHeight="1">
      <c r="H664" s="67"/>
    </row>
    <row r="665" spans="8:8" ht="15.75" customHeight="1">
      <c r="H665" s="67"/>
    </row>
    <row r="666" spans="8:8" ht="15.75" customHeight="1">
      <c r="H666" s="67"/>
    </row>
    <row r="667" spans="8:8" ht="15.75" customHeight="1">
      <c r="H667" s="67"/>
    </row>
    <row r="668" spans="8:8" ht="15.75" customHeight="1">
      <c r="H668" s="67"/>
    </row>
    <row r="669" spans="8:8" ht="15.75" customHeight="1">
      <c r="H669" s="67"/>
    </row>
    <row r="670" spans="8:8" ht="15.75" customHeight="1">
      <c r="H670" s="67"/>
    </row>
    <row r="671" spans="8:8" ht="15.75" customHeight="1">
      <c r="H671" s="67"/>
    </row>
    <row r="672" spans="8:8" ht="15.75" customHeight="1">
      <c r="H672" s="67"/>
    </row>
    <row r="673" spans="8:8" ht="15.75" customHeight="1">
      <c r="H673" s="67"/>
    </row>
    <row r="674" spans="8:8" ht="15.75" customHeight="1">
      <c r="H674" s="67"/>
    </row>
    <row r="675" spans="8:8" ht="15.75" customHeight="1">
      <c r="H675" s="67"/>
    </row>
    <row r="676" spans="8:8" ht="15.75" customHeight="1">
      <c r="H676" s="67"/>
    </row>
    <row r="677" spans="8:8" ht="15.75" customHeight="1">
      <c r="H677" s="67"/>
    </row>
    <row r="678" spans="8:8" ht="15.75" customHeight="1">
      <c r="H678" s="67"/>
    </row>
    <row r="679" spans="8:8" ht="15.75" customHeight="1">
      <c r="H679" s="67"/>
    </row>
    <row r="680" spans="8:8" ht="15.75" customHeight="1">
      <c r="H680" s="67"/>
    </row>
    <row r="681" spans="8:8" ht="15.75" customHeight="1">
      <c r="H681" s="67"/>
    </row>
    <row r="682" spans="8:8" ht="15.75" customHeight="1">
      <c r="H682" s="67"/>
    </row>
    <row r="683" spans="8:8" ht="15.75" customHeight="1">
      <c r="H683" s="67"/>
    </row>
    <row r="684" spans="8:8" ht="15.75" customHeight="1">
      <c r="H684" s="67"/>
    </row>
    <row r="685" spans="8:8" ht="15.75" customHeight="1">
      <c r="H685" s="67"/>
    </row>
    <row r="686" spans="8:8" ht="15.75" customHeight="1">
      <c r="H686" s="67"/>
    </row>
    <row r="687" spans="8:8" ht="15.75" customHeight="1">
      <c r="H687" s="67"/>
    </row>
    <row r="688" spans="8:8" ht="15.75" customHeight="1">
      <c r="H688" s="67"/>
    </row>
    <row r="689" spans="8:8" ht="15.75" customHeight="1">
      <c r="H689" s="67"/>
    </row>
    <row r="690" spans="8:8" ht="15.75" customHeight="1">
      <c r="H690" s="67"/>
    </row>
    <row r="691" spans="8:8" ht="15.75" customHeight="1">
      <c r="H691" s="67"/>
    </row>
    <row r="692" spans="8:8" ht="15.75" customHeight="1">
      <c r="H692" s="67"/>
    </row>
    <row r="693" spans="8:8" ht="15.75" customHeight="1">
      <c r="H693" s="67"/>
    </row>
    <row r="694" spans="8:8" ht="15.75" customHeight="1">
      <c r="H694" s="67"/>
    </row>
    <row r="695" spans="8:8" ht="15.75" customHeight="1">
      <c r="H695" s="67"/>
    </row>
    <row r="696" spans="8:8" ht="15.75" customHeight="1">
      <c r="H696" s="67"/>
    </row>
    <row r="697" spans="8:8" ht="15.75" customHeight="1">
      <c r="H697" s="67"/>
    </row>
    <row r="698" spans="8:8" ht="15.75" customHeight="1">
      <c r="H698" s="67"/>
    </row>
    <row r="699" spans="8:8" ht="15.75" customHeight="1">
      <c r="H699" s="67"/>
    </row>
    <row r="700" spans="8:8" ht="15.75" customHeight="1">
      <c r="H700" s="67"/>
    </row>
    <row r="701" spans="8:8" ht="15.75" customHeight="1">
      <c r="H701" s="67"/>
    </row>
    <row r="702" spans="8:8" ht="15.75" customHeight="1">
      <c r="H702" s="67"/>
    </row>
    <row r="703" spans="8:8" ht="15.75" customHeight="1">
      <c r="H703" s="67"/>
    </row>
    <row r="704" spans="8:8" ht="15.75" customHeight="1">
      <c r="H704" s="67"/>
    </row>
    <row r="705" spans="8:8" ht="15.75" customHeight="1">
      <c r="H705" s="67"/>
    </row>
    <row r="706" spans="8:8" ht="15.75" customHeight="1">
      <c r="H706" s="67"/>
    </row>
    <row r="707" spans="8:8" ht="15.75" customHeight="1">
      <c r="H707" s="67"/>
    </row>
    <row r="708" spans="8:8" ht="15.75" customHeight="1">
      <c r="H708" s="67"/>
    </row>
    <row r="709" spans="8:8" ht="15.75" customHeight="1">
      <c r="H709" s="67"/>
    </row>
    <row r="710" spans="8:8" ht="15.75" customHeight="1">
      <c r="H710" s="67"/>
    </row>
    <row r="711" spans="8:8" ht="15.75" customHeight="1">
      <c r="H711" s="67"/>
    </row>
    <row r="712" spans="8:8" ht="15.75" customHeight="1">
      <c r="H712" s="67"/>
    </row>
    <row r="713" spans="8:8" ht="15.75" customHeight="1">
      <c r="H713" s="67"/>
    </row>
    <row r="714" spans="8:8" ht="15.75" customHeight="1">
      <c r="H714" s="67"/>
    </row>
    <row r="715" spans="8:8" ht="15.75" customHeight="1">
      <c r="H715" s="67"/>
    </row>
    <row r="716" spans="8:8" ht="15.75" customHeight="1">
      <c r="H716" s="67"/>
    </row>
    <row r="717" spans="8:8" ht="15.75" customHeight="1">
      <c r="H717" s="67"/>
    </row>
    <row r="718" spans="8:8" ht="15.75" customHeight="1">
      <c r="H718" s="67"/>
    </row>
    <row r="719" spans="8:8" ht="15.75" customHeight="1">
      <c r="H719" s="67"/>
    </row>
    <row r="720" spans="8:8" ht="15.75" customHeight="1">
      <c r="H720" s="67"/>
    </row>
    <row r="721" spans="8:8" ht="15.75" customHeight="1">
      <c r="H721" s="67"/>
    </row>
    <row r="722" spans="8:8" ht="15.75" customHeight="1">
      <c r="H722" s="67"/>
    </row>
    <row r="723" spans="8:8" ht="15.75" customHeight="1">
      <c r="H723" s="67"/>
    </row>
    <row r="724" spans="8:8" ht="15.75" customHeight="1">
      <c r="H724" s="67"/>
    </row>
    <row r="725" spans="8:8" ht="15.75" customHeight="1">
      <c r="H725" s="67"/>
    </row>
    <row r="726" spans="8:8" ht="15.75" customHeight="1">
      <c r="H726" s="67"/>
    </row>
    <row r="727" spans="8:8" ht="15.75" customHeight="1">
      <c r="H727" s="67"/>
    </row>
    <row r="728" spans="8:8" ht="15.75" customHeight="1">
      <c r="H728" s="67"/>
    </row>
    <row r="729" spans="8:8" ht="15.75" customHeight="1">
      <c r="H729" s="67"/>
    </row>
    <row r="730" spans="8:8" ht="15.75" customHeight="1">
      <c r="H730" s="67"/>
    </row>
    <row r="731" spans="8:8" ht="15.75" customHeight="1">
      <c r="H731" s="67"/>
    </row>
    <row r="732" spans="8:8" ht="15.75" customHeight="1">
      <c r="H732" s="67"/>
    </row>
    <row r="733" spans="8:8" ht="15.75" customHeight="1">
      <c r="H733" s="67"/>
    </row>
    <row r="734" spans="8:8" ht="15.75" customHeight="1">
      <c r="H734" s="67"/>
    </row>
    <row r="735" spans="8:8" ht="15.75" customHeight="1">
      <c r="H735" s="67"/>
    </row>
    <row r="736" spans="8:8" ht="15.75" customHeight="1">
      <c r="H736" s="67"/>
    </row>
    <row r="737" spans="8:8" ht="15.75" customHeight="1">
      <c r="H737" s="67"/>
    </row>
    <row r="738" spans="8:8" ht="15.75" customHeight="1">
      <c r="H738" s="67"/>
    </row>
    <row r="739" spans="8:8" ht="15.75" customHeight="1">
      <c r="H739" s="67"/>
    </row>
    <row r="740" spans="8:8" ht="15.75" customHeight="1">
      <c r="H740" s="67"/>
    </row>
    <row r="741" spans="8:8" ht="15.75" customHeight="1">
      <c r="H741" s="67"/>
    </row>
    <row r="742" spans="8:8" ht="15.75" customHeight="1">
      <c r="H742" s="67"/>
    </row>
    <row r="743" spans="8:8" ht="15.75" customHeight="1">
      <c r="H743" s="67"/>
    </row>
    <row r="744" spans="8:8" ht="15.75" customHeight="1">
      <c r="H744" s="67"/>
    </row>
    <row r="745" spans="8:8" ht="15.75" customHeight="1">
      <c r="H745" s="67"/>
    </row>
    <row r="746" spans="8:8" ht="15.75" customHeight="1">
      <c r="H746" s="67"/>
    </row>
    <row r="747" spans="8:8" ht="15.75" customHeight="1">
      <c r="H747" s="67"/>
    </row>
    <row r="748" spans="8:8" ht="15.75" customHeight="1">
      <c r="H748" s="67"/>
    </row>
    <row r="749" spans="8:8" ht="15.75" customHeight="1">
      <c r="H749" s="67"/>
    </row>
    <row r="750" spans="8:8" ht="15.75" customHeight="1">
      <c r="H750" s="67"/>
    </row>
    <row r="751" spans="8:8" ht="15.75" customHeight="1">
      <c r="H751" s="67"/>
    </row>
    <row r="752" spans="8:8" ht="15.75" customHeight="1">
      <c r="H752" s="67"/>
    </row>
    <row r="753" spans="8:8" ht="15.75" customHeight="1">
      <c r="H753" s="67"/>
    </row>
    <row r="754" spans="8:8" ht="15.75" customHeight="1">
      <c r="H754" s="67"/>
    </row>
    <row r="755" spans="8:8" ht="15.75" customHeight="1">
      <c r="H755" s="67"/>
    </row>
    <row r="756" spans="8:8" ht="15.75" customHeight="1">
      <c r="H756" s="67"/>
    </row>
    <row r="757" spans="8:8" ht="15.75" customHeight="1">
      <c r="H757" s="67"/>
    </row>
    <row r="758" spans="8:8" ht="15.75" customHeight="1">
      <c r="H758" s="67"/>
    </row>
    <row r="759" spans="8:8" ht="15.75" customHeight="1">
      <c r="H759" s="67"/>
    </row>
    <row r="760" spans="8:8" ht="15.75" customHeight="1">
      <c r="H760" s="67"/>
    </row>
    <row r="761" spans="8:8" ht="15.75" customHeight="1">
      <c r="H761" s="67"/>
    </row>
    <row r="762" spans="8:8" ht="15.75" customHeight="1">
      <c r="H762" s="67"/>
    </row>
    <row r="763" spans="8:8" ht="15.75" customHeight="1">
      <c r="H763" s="67"/>
    </row>
    <row r="764" spans="8:8" ht="15.75" customHeight="1">
      <c r="H764" s="67"/>
    </row>
    <row r="765" spans="8:8" ht="15.75" customHeight="1">
      <c r="H765" s="67"/>
    </row>
    <row r="766" spans="8:8" ht="15.75" customHeight="1">
      <c r="H766" s="67"/>
    </row>
    <row r="767" spans="8:8" ht="15.75" customHeight="1">
      <c r="H767" s="67"/>
    </row>
    <row r="768" spans="8:8" ht="15.75" customHeight="1">
      <c r="H768" s="67"/>
    </row>
    <row r="769" spans="8:8" ht="15.75" customHeight="1">
      <c r="H769" s="67"/>
    </row>
    <row r="770" spans="8:8" ht="15.75" customHeight="1">
      <c r="H770" s="67"/>
    </row>
    <row r="771" spans="8:8" ht="15.75" customHeight="1">
      <c r="H771" s="67"/>
    </row>
    <row r="772" spans="8:8" ht="15.75" customHeight="1">
      <c r="H772" s="67"/>
    </row>
    <row r="773" spans="8:8" ht="15.75" customHeight="1">
      <c r="H773" s="67"/>
    </row>
    <row r="774" spans="8:8" ht="15.75" customHeight="1">
      <c r="H774" s="67"/>
    </row>
    <row r="775" spans="8:8" ht="15.75" customHeight="1">
      <c r="H775" s="67"/>
    </row>
    <row r="776" spans="8:8" ht="15.75" customHeight="1">
      <c r="H776" s="67"/>
    </row>
    <row r="777" spans="8:8" ht="15.75" customHeight="1">
      <c r="H777" s="67"/>
    </row>
    <row r="778" spans="8:8" ht="15.75" customHeight="1">
      <c r="H778" s="67"/>
    </row>
    <row r="779" spans="8:8" ht="15.75" customHeight="1">
      <c r="H779" s="67"/>
    </row>
    <row r="780" spans="8:8" ht="15.75" customHeight="1">
      <c r="H780" s="67"/>
    </row>
    <row r="781" spans="8:8" ht="15.75" customHeight="1">
      <c r="H781" s="67"/>
    </row>
    <row r="782" spans="8:8" ht="15.75" customHeight="1">
      <c r="H782" s="67"/>
    </row>
    <row r="783" spans="8:8" ht="15.75" customHeight="1">
      <c r="H783" s="67"/>
    </row>
    <row r="784" spans="8:8" ht="15.75" customHeight="1">
      <c r="H784" s="67"/>
    </row>
    <row r="785" spans="8:8" ht="15.75" customHeight="1">
      <c r="H785" s="67"/>
    </row>
    <row r="786" spans="8:8" ht="15.75" customHeight="1">
      <c r="H786" s="67"/>
    </row>
    <row r="787" spans="8:8" ht="15.75" customHeight="1">
      <c r="H787" s="67"/>
    </row>
    <row r="788" spans="8:8" ht="15.75" customHeight="1">
      <c r="H788" s="67"/>
    </row>
    <row r="789" spans="8:8" ht="15.75" customHeight="1">
      <c r="H789" s="67"/>
    </row>
    <row r="790" spans="8:8" ht="15.75" customHeight="1">
      <c r="H790" s="67"/>
    </row>
    <row r="791" spans="8:8" ht="15.75" customHeight="1">
      <c r="H791" s="67"/>
    </row>
    <row r="792" spans="8:8" ht="15.75" customHeight="1">
      <c r="H792" s="67"/>
    </row>
    <row r="793" spans="8:8" ht="15.75" customHeight="1">
      <c r="H793" s="67"/>
    </row>
    <row r="794" spans="8:8" ht="15.75" customHeight="1">
      <c r="H794" s="67"/>
    </row>
    <row r="795" spans="8:8" ht="15.75" customHeight="1">
      <c r="H795" s="67"/>
    </row>
    <row r="796" spans="8:8" ht="15.75" customHeight="1">
      <c r="H796" s="67"/>
    </row>
    <row r="797" spans="8:8" ht="15.75" customHeight="1">
      <c r="H797" s="67"/>
    </row>
    <row r="798" spans="8:8" ht="15.75" customHeight="1">
      <c r="H798" s="67"/>
    </row>
    <row r="799" spans="8:8" ht="15.75" customHeight="1">
      <c r="H799" s="67"/>
    </row>
    <row r="800" spans="8:8" ht="15.75" customHeight="1">
      <c r="H800" s="67"/>
    </row>
    <row r="801" spans="8:8" ht="15.75" customHeight="1">
      <c r="H801" s="67"/>
    </row>
    <row r="802" spans="8:8" ht="15.75" customHeight="1">
      <c r="H802" s="67"/>
    </row>
    <row r="803" spans="8:8" ht="15.75" customHeight="1">
      <c r="H803" s="67"/>
    </row>
    <row r="804" spans="8:8" ht="15.75" customHeight="1">
      <c r="H804" s="67"/>
    </row>
    <row r="805" spans="8:8" ht="15.75" customHeight="1">
      <c r="H805" s="67"/>
    </row>
    <row r="806" spans="8:8" ht="15.75" customHeight="1">
      <c r="H806" s="67"/>
    </row>
    <row r="807" spans="8:8" ht="15.75" customHeight="1">
      <c r="H807" s="67"/>
    </row>
    <row r="808" spans="8:8" ht="15.75" customHeight="1">
      <c r="H808" s="67"/>
    </row>
    <row r="809" spans="8:8" ht="15.75" customHeight="1">
      <c r="H809" s="67"/>
    </row>
    <row r="810" spans="8:8" ht="15.75" customHeight="1">
      <c r="H810" s="67"/>
    </row>
    <row r="811" spans="8:8" ht="15.75" customHeight="1">
      <c r="H811" s="67"/>
    </row>
    <row r="812" spans="8:8" ht="15.75" customHeight="1">
      <c r="H812" s="67"/>
    </row>
    <row r="813" spans="8:8" ht="15.75" customHeight="1">
      <c r="H813" s="67"/>
    </row>
    <row r="814" spans="8:8" ht="15.75" customHeight="1">
      <c r="H814" s="67"/>
    </row>
    <row r="815" spans="8:8" ht="15.75" customHeight="1">
      <c r="H815" s="67"/>
    </row>
    <row r="816" spans="8:8" ht="15.75" customHeight="1">
      <c r="H816" s="67"/>
    </row>
    <row r="817" spans="8:8" ht="15.75" customHeight="1">
      <c r="H817" s="67"/>
    </row>
    <row r="818" spans="8:8" ht="15.75" customHeight="1">
      <c r="H818" s="67"/>
    </row>
    <row r="819" spans="8:8" ht="15.75" customHeight="1">
      <c r="H819" s="67"/>
    </row>
    <row r="820" spans="8:8" ht="15.75" customHeight="1">
      <c r="H820" s="67"/>
    </row>
    <row r="821" spans="8:8" ht="15.75" customHeight="1">
      <c r="H821" s="67"/>
    </row>
    <row r="822" spans="8:8" ht="15.75" customHeight="1">
      <c r="H822" s="67"/>
    </row>
    <row r="823" spans="8:8" ht="15.75" customHeight="1">
      <c r="H823" s="67"/>
    </row>
    <row r="824" spans="8:8" ht="15.75" customHeight="1">
      <c r="H824" s="67"/>
    </row>
    <row r="825" spans="8:8" ht="15.75" customHeight="1">
      <c r="H825" s="67"/>
    </row>
    <row r="826" spans="8:8" ht="15.75" customHeight="1">
      <c r="H826" s="67"/>
    </row>
    <row r="827" spans="8:8" ht="15.75" customHeight="1">
      <c r="H827" s="67"/>
    </row>
    <row r="828" spans="8:8" ht="15.75" customHeight="1">
      <c r="H828" s="67"/>
    </row>
    <row r="829" spans="8:8" ht="15.75" customHeight="1">
      <c r="H829" s="67"/>
    </row>
    <row r="830" spans="8:8" ht="15.75" customHeight="1">
      <c r="H830" s="67"/>
    </row>
    <row r="831" spans="8:8" ht="15.75" customHeight="1">
      <c r="H831" s="67"/>
    </row>
    <row r="832" spans="8:8" ht="15.75" customHeight="1">
      <c r="H832" s="67"/>
    </row>
    <row r="833" spans="8:8" ht="15.75" customHeight="1">
      <c r="H833" s="67"/>
    </row>
    <row r="834" spans="8:8" ht="15.75" customHeight="1">
      <c r="H834" s="67"/>
    </row>
    <row r="835" spans="8:8" ht="15.75" customHeight="1">
      <c r="H835" s="67"/>
    </row>
    <row r="836" spans="8:8" ht="15.75" customHeight="1">
      <c r="H836" s="67"/>
    </row>
    <row r="837" spans="8:8" ht="15.75" customHeight="1">
      <c r="H837" s="67"/>
    </row>
    <row r="838" spans="8:8" ht="15.75" customHeight="1">
      <c r="H838" s="67"/>
    </row>
    <row r="839" spans="8:8" ht="15.75" customHeight="1">
      <c r="H839" s="67"/>
    </row>
    <row r="840" spans="8:8" ht="15.75" customHeight="1">
      <c r="H840" s="67"/>
    </row>
    <row r="841" spans="8:8" ht="15.75" customHeight="1">
      <c r="H841" s="67"/>
    </row>
    <row r="842" spans="8:8" ht="15.75" customHeight="1">
      <c r="H842" s="67"/>
    </row>
    <row r="843" spans="8:8" ht="15.75" customHeight="1">
      <c r="H843" s="67"/>
    </row>
    <row r="844" spans="8:8" ht="15.75" customHeight="1">
      <c r="H844" s="67"/>
    </row>
    <row r="845" spans="8:8" ht="15.75" customHeight="1">
      <c r="H845" s="67"/>
    </row>
    <row r="846" spans="8:8" ht="15.75" customHeight="1">
      <c r="H846" s="67"/>
    </row>
    <row r="847" spans="8:8" ht="15.75" customHeight="1">
      <c r="H847" s="67"/>
    </row>
    <row r="848" spans="8:8" ht="15.75" customHeight="1">
      <c r="H848" s="67"/>
    </row>
    <row r="849" spans="8:8" ht="15.75" customHeight="1">
      <c r="H849" s="67"/>
    </row>
    <row r="850" spans="8:8" ht="15.75" customHeight="1">
      <c r="H850" s="67"/>
    </row>
    <row r="851" spans="8:8" ht="15.75" customHeight="1">
      <c r="H851" s="67"/>
    </row>
    <row r="852" spans="8:8" ht="15.75" customHeight="1">
      <c r="H852" s="67"/>
    </row>
    <row r="853" spans="8:8" ht="15.75" customHeight="1">
      <c r="H853" s="67"/>
    </row>
    <row r="854" spans="8:8" ht="15.75" customHeight="1">
      <c r="H854" s="67"/>
    </row>
    <row r="855" spans="8:8" ht="15.75" customHeight="1">
      <c r="H855" s="67"/>
    </row>
    <row r="856" spans="8:8" ht="15.75" customHeight="1">
      <c r="H856" s="67"/>
    </row>
    <row r="857" spans="8:8" ht="15.75" customHeight="1">
      <c r="H857" s="67"/>
    </row>
    <row r="858" spans="8:8" ht="15.75" customHeight="1">
      <c r="H858" s="67"/>
    </row>
    <row r="859" spans="8:8" ht="15.75" customHeight="1">
      <c r="H859" s="67"/>
    </row>
    <row r="860" spans="8:8" ht="15.75" customHeight="1">
      <c r="H860" s="67"/>
    </row>
    <row r="861" spans="8:8" ht="15.75" customHeight="1">
      <c r="H861" s="67"/>
    </row>
    <row r="862" spans="8:8" ht="15.75" customHeight="1">
      <c r="H862" s="67"/>
    </row>
    <row r="863" spans="8:8" ht="15.75" customHeight="1">
      <c r="H863" s="67"/>
    </row>
    <row r="864" spans="8:8" ht="15.75" customHeight="1">
      <c r="H864" s="67"/>
    </row>
    <row r="865" spans="8:8" ht="15.75" customHeight="1">
      <c r="H865" s="67"/>
    </row>
    <row r="866" spans="8:8" ht="15.75" customHeight="1">
      <c r="H866" s="67"/>
    </row>
    <row r="867" spans="8:8" ht="15.75" customHeight="1">
      <c r="H867" s="67"/>
    </row>
    <row r="868" spans="8:8" ht="15.75" customHeight="1">
      <c r="H868" s="67"/>
    </row>
    <row r="869" spans="8:8" ht="15.75" customHeight="1">
      <c r="H869" s="67"/>
    </row>
    <row r="870" spans="8:8" ht="15.75" customHeight="1">
      <c r="H870" s="67"/>
    </row>
    <row r="871" spans="8:8" ht="15.75" customHeight="1">
      <c r="H871" s="67"/>
    </row>
    <row r="872" spans="8:8" ht="15.75" customHeight="1">
      <c r="H872" s="67"/>
    </row>
    <row r="873" spans="8:8" ht="15.75" customHeight="1">
      <c r="H873" s="67"/>
    </row>
    <row r="874" spans="8:8" ht="15.75" customHeight="1">
      <c r="H874" s="67"/>
    </row>
    <row r="875" spans="8:8" ht="15.75" customHeight="1">
      <c r="H875" s="67"/>
    </row>
    <row r="876" spans="8:8" ht="15.75" customHeight="1">
      <c r="H876" s="67"/>
    </row>
    <row r="877" spans="8:8" ht="15.75" customHeight="1">
      <c r="H877" s="67"/>
    </row>
    <row r="878" spans="8:8" ht="15.75" customHeight="1">
      <c r="H878" s="67"/>
    </row>
    <row r="879" spans="8:8" ht="15.75" customHeight="1">
      <c r="H879" s="67"/>
    </row>
    <row r="880" spans="8:8" ht="15.75" customHeight="1">
      <c r="H880" s="67"/>
    </row>
    <row r="881" spans="8:8" ht="15.75" customHeight="1">
      <c r="H881" s="67"/>
    </row>
    <row r="882" spans="8:8" ht="15.75" customHeight="1">
      <c r="H882" s="67"/>
    </row>
    <row r="883" spans="8:8" ht="15.75" customHeight="1">
      <c r="H883" s="67"/>
    </row>
    <row r="884" spans="8:8" ht="15.75" customHeight="1">
      <c r="H884" s="67"/>
    </row>
    <row r="885" spans="8:8" ht="15.75" customHeight="1">
      <c r="H885" s="67"/>
    </row>
    <row r="886" spans="8:8" ht="15.75" customHeight="1">
      <c r="H886" s="67"/>
    </row>
    <row r="887" spans="8:8" ht="15.75" customHeight="1">
      <c r="H887" s="67"/>
    </row>
    <row r="888" spans="8:8" ht="15.75" customHeight="1">
      <c r="H888" s="67"/>
    </row>
    <row r="889" spans="8:8" ht="15.75" customHeight="1">
      <c r="H889" s="67"/>
    </row>
    <row r="890" spans="8:8" ht="15.75" customHeight="1">
      <c r="H890" s="67"/>
    </row>
    <row r="891" spans="8:8" ht="15.75" customHeight="1">
      <c r="H891" s="67"/>
    </row>
    <row r="892" spans="8:8" ht="15.75" customHeight="1">
      <c r="H892" s="67"/>
    </row>
    <row r="893" spans="8:8" ht="15.75" customHeight="1">
      <c r="H893" s="67"/>
    </row>
    <row r="894" spans="8:8" ht="15.75" customHeight="1">
      <c r="H894" s="67"/>
    </row>
    <row r="895" spans="8:8" ht="15.75" customHeight="1">
      <c r="H895" s="67"/>
    </row>
    <row r="896" spans="8:8" ht="15.75" customHeight="1">
      <c r="H896" s="67"/>
    </row>
    <row r="897" spans="8:8" ht="15.75" customHeight="1">
      <c r="H897" s="67"/>
    </row>
    <row r="898" spans="8:8" ht="15.75" customHeight="1">
      <c r="H898" s="67"/>
    </row>
    <row r="899" spans="8:8" ht="15.75" customHeight="1">
      <c r="H899" s="67"/>
    </row>
    <row r="900" spans="8:8" ht="15.75" customHeight="1">
      <c r="H900" s="67"/>
    </row>
    <row r="901" spans="8:8" ht="15.75" customHeight="1">
      <c r="H901" s="67"/>
    </row>
    <row r="902" spans="8:8" ht="15.75" customHeight="1">
      <c r="H902" s="67"/>
    </row>
    <row r="903" spans="8:8" ht="15.75" customHeight="1">
      <c r="H903" s="67"/>
    </row>
    <row r="904" spans="8:8" ht="15.75" customHeight="1">
      <c r="H904" s="67"/>
    </row>
    <row r="905" spans="8:8" ht="15.75" customHeight="1">
      <c r="H905" s="67"/>
    </row>
    <row r="906" spans="8:8" ht="15.75" customHeight="1">
      <c r="H906" s="67"/>
    </row>
    <row r="907" spans="8:8" ht="15.75" customHeight="1">
      <c r="H907" s="67"/>
    </row>
    <row r="908" spans="8:8" ht="15.75" customHeight="1">
      <c r="H908" s="67"/>
    </row>
    <row r="909" spans="8:8" ht="15.75" customHeight="1">
      <c r="H909" s="67"/>
    </row>
    <row r="910" spans="8:8" ht="15.75" customHeight="1">
      <c r="H910" s="67"/>
    </row>
    <row r="911" spans="8:8" ht="15.75" customHeight="1">
      <c r="H911" s="67"/>
    </row>
    <row r="912" spans="8:8" ht="15.75" customHeight="1">
      <c r="H912" s="67"/>
    </row>
    <row r="913" spans="8:8" ht="15.75" customHeight="1">
      <c r="H913" s="67"/>
    </row>
    <row r="914" spans="8:8" ht="15.75" customHeight="1">
      <c r="H914" s="67"/>
    </row>
    <row r="915" spans="8:8" ht="15.75" customHeight="1">
      <c r="H915" s="67"/>
    </row>
    <row r="916" spans="8:8" ht="15.75" customHeight="1">
      <c r="H916" s="67"/>
    </row>
    <row r="917" spans="8:8" ht="15.75" customHeight="1">
      <c r="H917" s="67"/>
    </row>
    <row r="918" spans="8:8" ht="15.75" customHeight="1">
      <c r="H918" s="67"/>
    </row>
    <row r="919" spans="8:8" ht="15.75" customHeight="1">
      <c r="H919" s="67"/>
    </row>
    <row r="920" spans="8:8" ht="15.75" customHeight="1">
      <c r="H920" s="67"/>
    </row>
    <row r="921" spans="8:8" ht="15.75" customHeight="1">
      <c r="H921" s="67"/>
    </row>
    <row r="922" spans="8:8" ht="15.75" customHeight="1">
      <c r="H922" s="67"/>
    </row>
    <row r="923" spans="8:8" ht="15.75" customHeight="1">
      <c r="H923" s="67"/>
    </row>
    <row r="924" spans="8:8" ht="15.75" customHeight="1">
      <c r="H924" s="67"/>
    </row>
    <row r="925" spans="8:8" ht="15.75" customHeight="1">
      <c r="H925" s="67"/>
    </row>
    <row r="926" spans="8:8" ht="15.75" customHeight="1">
      <c r="H926" s="67"/>
    </row>
    <row r="927" spans="8:8" ht="15.75" customHeight="1">
      <c r="H927" s="67"/>
    </row>
    <row r="928" spans="8:8" ht="15.75" customHeight="1">
      <c r="H928" s="67"/>
    </row>
    <row r="929" spans="8:8" ht="15.75" customHeight="1">
      <c r="H929" s="67"/>
    </row>
    <row r="930" spans="8:8" ht="15.75" customHeight="1">
      <c r="H930" s="67"/>
    </row>
    <row r="931" spans="8:8" ht="15.75" customHeight="1">
      <c r="H931" s="67"/>
    </row>
    <row r="932" spans="8:8" ht="15.75" customHeight="1">
      <c r="H932" s="67"/>
    </row>
    <row r="933" spans="8:8" ht="15.75" customHeight="1">
      <c r="H933" s="67"/>
    </row>
    <row r="934" spans="8:8" ht="15.75" customHeight="1">
      <c r="H934" s="67"/>
    </row>
    <row r="935" spans="8:8" ht="15.75" customHeight="1">
      <c r="H935" s="67"/>
    </row>
    <row r="936" spans="8:8" ht="15.75" customHeight="1">
      <c r="H936" s="67"/>
    </row>
    <row r="937" spans="8:8" ht="15.75" customHeight="1">
      <c r="H937" s="67"/>
    </row>
    <row r="938" spans="8:8" ht="15.75" customHeight="1">
      <c r="H938" s="67"/>
    </row>
    <row r="939" spans="8:8" ht="15.75" customHeight="1">
      <c r="H939" s="67"/>
    </row>
    <row r="940" spans="8:8" ht="15.75" customHeight="1">
      <c r="H940" s="67"/>
    </row>
    <row r="941" spans="8:8" ht="15.75" customHeight="1">
      <c r="H941" s="67"/>
    </row>
    <row r="942" spans="8:8" ht="15.75" customHeight="1">
      <c r="H942" s="67"/>
    </row>
    <row r="943" spans="8:8" ht="15.75" customHeight="1">
      <c r="H943" s="67"/>
    </row>
    <row r="944" spans="8:8" ht="15.75" customHeight="1">
      <c r="H944" s="67"/>
    </row>
    <row r="945" spans="8:8" ht="15.75" customHeight="1">
      <c r="H945" s="67"/>
    </row>
    <row r="946" spans="8:8" ht="15.75" customHeight="1">
      <c r="H946" s="67"/>
    </row>
    <row r="947" spans="8:8" ht="15.75" customHeight="1">
      <c r="H947" s="67"/>
    </row>
    <row r="948" spans="8:8" ht="15.75" customHeight="1">
      <c r="H948" s="67"/>
    </row>
    <row r="949" spans="8:8" ht="15.75" customHeight="1">
      <c r="H949" s="67"/>
    </row>
    <row r="950" spans="8:8" ht="15.75" customHeight="1">
      <c r="H950" s="67"/>
    </row>
    <row r="951" spans="8:8" ht="15.75" customHeight="1">
      <c r="H951" s="67"/>
    </row>
    <row r="952" spans="8:8" ht="15.75" customHeight="1">
      <c r="H952" s="67"/>
    </row>
    <row r="953" spans="8:8" ht="15.75" customHeight="1">
      <c r="H953" s="67"/>
    </row>
    <row r="954" spans="8:8" ht="15.75" customHeight="1">
      <c r="H954" s="67"/>
    </row>
    <row r="955" spans="8:8" ht="15.75" customHeight="1">
      <c r="H955" s="67"/>
    </row>
    <row r="956" spans="8:8" ht="15.75" customHeight="1">
      <c r="H956" s="67"/>
    </row>
    <row r="957" spans="8:8" ht="15.75" customHeight="1">
      <c r="H957" s="67"/>
    </row>
    <row r="958" spans="8:8" ht="15.75" customHeight="1">
      <c r="H958" s="67"/>
    </row>
    <row r="959" spans="8:8" ht="15.75" customHeight="1">
      <c r="H959" s="67"/>
    </row>
    <row r="960" spans="8:8" ht="15.75" customHeight="1">
      <c r="H960" s="67"/>
    </row>
    <row r="961" spans="8:8" ht="15.75" customHeight="1">
      <c r="H961" s="67"/>
    </row>
    <row r="962" spans="8:8" ht="15.75" customHeight="1">
      <c r="H962" s="67"/>
    </row>
    <row r="963" spans="8:8" ht="15.75" customHeight="1">
      <c r="H963" s="67"/>
    </row>
    <row r="964" spans="8:8" ht="15.75" customHeight="1">
      <c r="H964" s="67"/>
    </row>
    <row r="965" spans="8:8" ht="15.75" customHeight="1">
      <c r="H965" s="67"/>
    </row>
    <row r="966" spans="8:8" ht="15.75" customHeight="1">
      <c r="H966" s="67"/>
    </row>
    <row r="967" spans="8:8" ht="15.75" customHeight="1">
      <c r="H967" s="67"/>
    </row>
    <row r="968" spans="8:8" ht="15.75" customHeight="1">
      <c r="H968" s="67"/>
    </row>
    <row r="969" spans="8:8" ht="15.75" customHeight="1">
      <c r="H969" s="67"/>
    </row>
    <row r="970" spans="8:8" ht="15.75" customHeight="1">
      <c r="H970" s="67"/>
    </row>
    <row r="971" spans="8:8" ht="15.75" customHeight="1">
      <c r="H971" s="67"/>
    </row>
    <row r="972" spans="8:8" ht="15.75" customHeight="1">
      <c r="H972" s="67"/>
    </row>
    <row r="973" spans="8:8" ht="15.75" customHeight="1">
      <c r="H973" s="67"/>
    </row>
    <row r="974" spans="8:8" ht="15.75" customHeight="1">
      <c r="H974" s="67"/>
    </row>
    <row r="975" spans="8:8" ht="15.75" customHeight="1">
      <c r="H975" s="67"/>
    </row>
    <row r="976" spans="8:8" ht="15.75" customHeight="1">
      <c r="H976" s="67"/>
    </row>
    <row r="977" spans="8:8" ht="15.75" customHeight="1">
      <c r="H977" s="67"/>
    </row>
    <row r="978" spans="8:8" ht="15.75" customHeight="1">
      <c r="H978" s="67"/>
    </row>
    <row r="979" spans="8:8" ht="15.75" customHeight="1">
      <c r="H979" s="67"/>
    </row>
    <row r="980" spans="8:8" ht="15.75" customHeight="1">
      <c r="H980" s="67"/>
    </row>
    <row r="981" spans="8:8" ht="15.75" customHeight="1">
      <c r="H981" s="67"/>
    </row>
    <row r="982" spans="8:8" ht="15.75" customHeight="1">
      <c r="H982" s="67"/>
    </row>
    <row r="983" spans="8:8" ht="15.75" customHeight="1">
      <c r="H983" s="67"/>
    </row>
    <row r="984" spans="8:8" ht="15.75" customHeight="1">
      <c r="H984" s="67"/>
    </row>
    <row r="985" spans="8:8" ht="15.75" customHeight="1">
      <c r="H985" s="67"/>
    </row>
    <row r="986" spans="8:8" ht="15.75" customHeight="1">
      <c r="H986" s="67"/>
    </row>
    <row r="987" spans="8:8" ht="15.75" customHeight="1">
      <c r="H987" s="67"/>
    </row>
    <row r="988" spans="8:8" ht="15.75" customHeight="1">
      <c r="H988" s="67"/>
    </row>
    <row r="989" spans="8:8" ht="15.75" customHeight="1">
      <c r="H989" s="67"/>
    </row>
    <row r="990" spans="8:8" ht="15.75" customHeight="1">
      <c r="H990" s="67"/>
    </row>
    <row r="991" spans="8:8" ht="15.75" customHeight="1">
      <c r="H991" s="67"/>
    </row>
    <row r="992" spans="8:8" ht="15.75" customHeight="1">
      <c r="H992" s="67"/>
    </row>
    <row r="993" spans="8:8" ht="15.75" customHeight="1">
      <c r="H993" s="67"/>
    </row>
    <row r="994" spans="8:8" ht="15.75" customHeight="1">
      <c r="H994" s="67"/>
    </row>
    <row r="995" spans="8:8" ht="15.75" customHeight="1">
      <c r="H995" s="67"/>
    </row>
    <row r="996" spans="8:8" ht="15.75" customHeight="1">
      <c r="H996" s="67"/>
    </row>
    <row r="997" spans="8:8" ht="15.75" customHeight="1">
      <c r="H997" s="67"/>
    </row>
    <row r="998" spans="8:8" ht="15.75" customHeight="1">
      <c r="H998" s="67"/>
    </row>
    <row r="999" spans="8:8" ht="15.75" customHeight="1">
      <c r="H999" s="67"/>
    </row>
    <row r="1000" spans="8:8" ht="15.75" customHeight="1">
      <c r="H1000" s="67"/>
    </row>
  </sheetData>
  <mergeCells count="8">
    <mergeCell ref="A32:I32"/>
    <mergeCell ref="A40:I40"/>
    <mergeCell ref="A48:B48"/>
    <mergeCell ref="A1:I1"/>
    <mergeCell ref="A2:I2"/>
    <mergeCell ref="A5:I5"/>
    <mergeCell ref="A14:I14"/>
    <mergeCell ref="A23:I23"/>
  </mergeCells>
  <dataValidations count="1">
    <dataValidation type="list" allowBlank="1" sqref="G6:G13 G15:G22 G24:G31 G33:G39 G41:G47">
      <formula1>"Pass,Fail,Not Run,Blocked"</formula1>
    </dataValidation>
  </dataValidations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000"/>
  <sheetViews>
    <sheetView showGridLines="0" workbookViewId="0">
      <pane ySplit="4" topLeftCell="A17" activePane="bottomLeft" state="frozen"/>
      <selection pane="bottomLeft" activeCell="B6" sqref="B6"/>
    </sheetView>
  </sheetViews>
  <sheetFormatPr defaultColWidth="14.42578125" defaultRowHeight="15" customHeight="1"/>
  <cols>
    <col min="1" max="1" width="10" customWidth="1"/>
    <col min="2" max="2" width="42" customWidth="1"/>
    <col min="3" max="3" width="24" customWidth="1"/>
    <col min="4" max="4" width="13" customWidth="1"/>
    <col min="5" max="6" width="10" customWidth="1"/>
    <col min="7" max="7" width="14" customWidth="1"/>
    <col min="8" max="8" width="36" customWidth="1"/>
    <col min="9" max="9" width="18" customWidth="1"/>
    <col min="10" max="26" width="8.7109375" customWidth="1"/>
  </cols>
  <sheetData>
    <row r="1" spans="1:9" ht="31.5" customHeight="1">
      <c r="A1" s="130" t="s">
        <v>660</v>
      </c>
      <c r="B1" s="119"/>
      <c r="C1" s="119"/>
      <c r="D1" s="119"/>
      <c r="E1" s="119"/>
      <c r="F1" s="119"/>
      <c r="G1" s="119"/>
      <c r="H1" s="119"/>
      <c r="I1" s="120"/>
    </row>
    <row r="2" spans="1:9" ht="15.75" customHeight="1">
      <c r="A2" s="131" t="s">
        <v>37</v>
      </c>
      <c r="B2" s="119"/>
      <c r="C2" s="119"/>
      <c r="D2" s="119"/>
      <c r="E2" s="119"/>
      <c r="F2" s="119"/>
      <c r="G2" s="119"/>
      <c r="H2" s="119"/>
      <c r="I2" s="120"/>
    </row>
    <row r="3" spans="1:9" ht="6" customHeight="1"/>
    <row r="4" spans="1:9" ht="21.75" customHeight="1">
      <c r="A4" s="36" t="s">
        <v>38</v>
      </c>
      <c r="B4" s="36" t="s">
        <v>39</v>
      </c>
      <c r="C4" s="36" t="s">
        <v>40</v>
      </c>
      <c r="D4" s="36" t="s">
        <v>41</v>
      </c>
      <c r="E4" s="36" t="s">
        <v>42</v>
      </c>
      <c r="F4" s="36" t="s">
        <v>43</v>
      </c>
      <c r="G4" s="36" t="s">
        <v>44</v>
      </c>
      <c r="H4" s="36" t="s">
        <v>45</v>
      </c>
      <c r="I4" s="36" t="s">
        <v>46</v>
      </c>
    </row>
    <row r="5" spans="1:9" ht="21.75" customHeight="1">
      <c r="A5" s="128" t="s">
        <v>661</v>
      </c>
      <c r="B5" s="109"/>
      <c r="C5" s="109"/>
      <c r="D5" s="109"/>
      <c r="E5" s="109"/>
      <c r="F5" s="109"/>
      <c r="G5" s="109"/>
      <c r="H5" s="109"/>
      <c r="I5" s="110"/>
    </row>
    <row r="6" spans="1:9" ht="19.5" customHeight="1">
      <c r="A6" s="43" t="s">
        <v>662</v>
      </c>
      <c r="B6" s="44" t="s">
        <v>663</v>
      </c>
      <c r="C6" s="45" t="s">
        <v>54</v>
      </c>
      <c r="D6" s="43" t="s">
        <v>24</v>
      </c>
      <c r="E6" s="46" t="str">
        <f t="shared" ref="E6:E20" si="0">IF(G6="Pass","✅","")</f>
        <v>✅</v>
      </c>
      <c r="F6" s="46" t="str">
        <f t="shared" ref="F6:F20" si="1">IF(G6="Fail","❌","")</f>
        <v/>
      </c>
      <c r="G6" s="47" t="s">
        <v>42</v>
      </c>
      <c r="H6" s="44"/>
      <c r="I6" s="81" t="s">
        <v>51</v>
      </c>
    </row>
    <row r="7" spans="1:9" ht="19.5" customHeight="1">
      <c r="A7" s="48" t="s">
        <v>664</v>
      </c>
      <c r="B7" s="49" t="s">
        <v>665</v>
      </c>
      <c r="C7" s="50" t="s">
        <v>54</v>
      </c>
      <c r="D7" s="48" t="s">
        <v>27</v>
      </c>
      <c r="E7" s="51" t="str">
        <f t="shared" si="0"/>
        <v>✅</v>
      </c>
      <c r="F7" s="51" t="str">
        <f t="shared" si="1"/>
        <v/>
      </c>
      <c r="G7" s="52" t="s">
        <v>42</v>
      </c>
      <c r="H7" s="49"/>
      <c r="I7" s="81" t="s">
        <v>51</v>
      </c>
    </row>
    <row r="8" spans="1:9" ht="19.5" customHeight="1">
      <c r="A8" s="43" t="s">
        <v>666</v>
      </c>
      <c r="B8" s="44" t="s">
        <v>667</v>
      </c>
      <c r="C8" s="45" t="s">
        <v>54</v>
      </c>
      <c r="D8" s="43" t="s">
        <v>24</v>
      </c>
      <c r="E8" s="46" t="str">
        <f t="shared" si="0"/>
        <v>✅</v>
      </c>
      <c r="F8" s="46" t="str">
        <f t="shared" si="1"/>
        <v/>
      </c>
      <c r="G8" s="47" t="s">
        <v>42</v>
      </c>
      <c r="H8" s="44"/>
      <c r="I8" s="81" t="s">
        <v>51</v>
      </c>
    </row>
    <row r="9" spans="1:9" ht="19.5" customHeight="1">
      <c r="A9" s="48" t="s">
        <v>668</v>
      </c>
      <c r="B9" s="49" t="s">
        <v>669</v>
      </c>
      <c r="C9" s="50" t="s">
        <v>54</v>
      </c>
      <c r="D9" s="48" t="s">
        <v>27</v>
      </c>
      <c r="E9" s="51" t="str">
        <f t="shared" si="0"/>
        <v>✅</v>
      </c>
      <c r="F9" s="51" t="str">
        <f t="shared" si="1"/>
        <v/>
      </c>
      <c r="G9" s="52" t="s">
        <v>42</v>
      </c>
      <c r="H9" s="49"/>
      <c r="I9" s="81" t="s">
        <v>51</v>
      </c>
    </row>
    <row r="10" spans="1:9" ht="19.5" customHeight="1">
      <c r="A10" s="48" t="s">
        <v>670</v>
      </c>
      <c r="B10" s="49" t="s">
        <v>671</v>
      </c>
      <c r="C10" s="50" t="s">
        <v>170</v>
      </c>
      <c r="D10" s="48" t="s">
        <v>27</v>
      </c>
      <c r="E10" s="51" t="str">
        <f t="shared" si="0"/>
        <v>✅</v>
      </c>
      <c r="F10" s="51" t="str">
        <f t="shared" si="1"/>
        <v/>
      </c>
      <c r="G10" s="52" t="s">
        <v>42</v>
      </c>
      <c r="H10" s="49"/>
      <c r="I10" s="81" t="s">
        <v>51</v>
      </c>
    </row>
    <row r="11" spans="1:9" ht="19.5" customHeight="1">
      <c r="A11" s="43" t="s">
        <v>672</v>
      </c>
      <c r="B11" s="44" t="s">
        <v>673</v>
      </c>
      <c r="C11" s="45" t="s">
        <v>72</v>
      </c>
      <c r="D11" s="43" t="s">
        <v>24</v>
      </c>
      <c r="E11" s="46" t="str">
        <f t="shared" si="0"/>
        <v>✅</v>
      </c>
      <c r="F11" s="46" t="str">
        <f t="shared" si="1"/>
        <v/>
      </c>
      <c r="G11" s="47" t="s">
        <v>42</v>
      </c>
      <c r="H11" s="44"/>
      <c r="I11" s="81" t="s">
        <v>51</v>
      </c>
    </row>
    <row r="12" spans="1:9" ht="19.5" customHeight="1">
      <c r="A12" s="43" t="s">
        <v>674</v>
      </c>
      <c r="B12" s="44" t="s">
        <v>675</v>
      </c>
      <c r="C12" s="45" t="s">
        <v>54</v>
      </c>
      <c r="D12" s="43" t="s">
        <v>24</v>
      </c>
      <c r="E12" s="46" t="str">
        <f t="shared" si="0"/>
        <v>✅</v>
      </c>
      <c r="F12" s="46" t="str">
        <f t="shared" si="1"/>
        <v/>
      </c>
      <c r="G12" s="47" t="s">
        <v>42</v>
      </c>
      <c r="H12" s="44"/>
      <c r="I12" s="81" t="s">
        <v>51</v>
      </c>
    </row>
    <row r="13" spans="1:9" ht="19.5" customHeight="1">
      <c r="A13" s="48" t="s">
        <v>676</v>
      </c>
      <c r="B13" s="49" t="s">
        <v>677</v>
      </c>
      <c r="C13" s="50" t="s">
        <v>54</v>
      </c>
      <c r="D13" s="48" t="s">
        <v>27</v>
      </c>
      <c r="E13" s="51" t="str">
        <f t="shared" si="0"/>
        <v>✅</v>
      </c>
      <c r="F13" s="51" t="str">
        <f t="shared" si="1"/>
        <v/>
      </c>
      <c r="G13" s="52" t="s">
        <v>42</v>
      </c>
      <c r="H13" s="49"/>
      <c r="I13" s="81" t="s">
        <v>51</v>
      </c>
    </row>
    <row r="14" spans="1:9" ht="19.5" customHeight="1">
      <c r="A14" s="48" t="s">
        <v>678</v>
      </c>
      <c r="B14" s="49" t="s">
        <v>679</v>
      </c>
      <c r="C14" s="50" t="s">
        <v>54</v>
      </c>
      <c r="D14" s="48" t="s">
        <v>27</v>
      </c>
      <c r="E14" s="51" t="str">
        <f t="shared" si="0"/>
        <v>✅</v>
      </c>
      <c r="F14" s="51" t="str">
        <f t="shared" si="1"/>
        <v/>
      </c>
      <c r="G14" s="52" t="s">
        <v>42</v>
      </c>
      <c r="H14" s="49"/>
      <c r="I14" s="81" t="s">
        <v>51</v>
      </c>
    </row>
    <row r="15" spans="1:9" ht="31.5" customHeight="1">
      <c r="A15" s="43" t="s">
        <v>680</v>
      </c>
      <c r="B15" s="44" t="s">
        <v>681</v>
      </c>
      <c r="C15" s="45" t="s">
        <v>54</v>
      </c>
      <c r="D15" s="43" t="s">
        <v>24</v>
      </c>
      <c r="E15" s="46" t="str">
        <f t="shared" si="0"/>
        <v/>
      </c>
      <c r="F15" s="46" t="str">
        <f t="shared" si="1"/>
        <v>❌</v>
      </c>
      <c r="G15" s="47" t="s">
        <v>43</v>
      </c>
      <c r="H15" s="79" t="s">
        <v>682</v>
      </c>
      <c r="I15" s="81" t="s">
        <v>51</v>
      </c>
    </row>
    <row r="16" spans="1:9" ht="19.5" customHeight="1">
      <c r="A16" s="43" t="s">
        <v>683</v>
      </c>
      <c r="B16" s="44" t="s">
        <v>684</v>
      </c>
      <c r="C16" s="45" t="s">
        <v>253</v>
      </c>
      <c r="D16" s="43" t="s">
        <v>24</v>
      </c>
      <c r="E16" s="46" t="str">
        <f t="shared" si="0"/>
        <v>✅</v>
      </c>
      <c r="F16" s="46" t="str">
        <f t="shared" si="1"/>
        <v/>
      </c>
      <c r="G16" s="47" t="s">
        <v>42</v>
      </c>
      <c r="H16" s="44"/>
      <c r="I16" s="81" t="s">
        <v>51</v>
      </c>
    </row>
    <row r="17" spans="1:9" ht="19.5" customHeight="1">
      <c r="A17" s="48" t="s">
        <v>685</v>
      </c>
      <c r="B17" s="49" t="s">
        <v>686</v>
      </c>
      <c r="C17" s="50" t="s">
        <v>687</v>
      </c>
      <c r="D17" s="48" t="s">
        <v>27</v>
      </c>
      <c r="E17" s="51" t="str">
        <f t="shared" si="0"/>
        <v>✅</v>
      </c>
      <c r="F17" s="51" t="str">
        <f t="shared" si="1"/>
        <v/>
      </c>
      <c r="G17" s="52" t="s">
        <v>42</v>
      </c>
      <c r="H17" s="49"/>
      <c r="I17" s="81" t="s">
        <v>51</v>
      </c>
    </row>
    <row r="18" spans="1:9" ht="19.5" customHeight="1">
      <c r="A18" s="48" t="s">
        <v>688</v>
      </c>
      <c r="B18" s="49" t="s">
        <v>689</v>
      </c>
      <c r="C18" s="50" t="s">
        <v>89</v>
      </c>
      <c r="D18" s="48" t="s">
        <v>27</v>
      </c>
      <c r="E18" s="51" t="str">
        <f t="shared" si="0"/>
        <v>✅</v>
      </c>
      <c r="F18" s="51" t="str">
        <f t="shared" si="1"/>
        <v/>
      </c>
      <c r="G18" s="52" t="s">
        <v>42</v>
      </c>
      <c r="H18" s="49"/>
      <c r="I18" s="81" t="s">
        <v>51</v>
      </c>
    </row>
    <row r="19" spans="1:9" ht="19.5" customHeight="1">
      <c r="A19" s="48" t="s">
        <v>690</v>
      </c>
      <c r="B19" s="49" t="s">
        <v>691</v>
      </c>
      <c r="C19" s="50" t="s">
        <v>692</v>
      </c>
      <c r="D19" s="48" t="s">
        <v>27</v>
      </c>
      <c r="E19" s="51" t="str">
        <f t="shared" si="0"/>
        <v>✅</v>
      </c>
      <c r="F19" s="51" t="str">
        <f t="shared" si="1"/>
        <v/>
      </c>
      <c r="G19" s="52" t="s">
        <v>42</v>
      </c>
      <c r="H19" s="49"/>
      <c r="I19" s="81" t="s">
        <v>51</v>
      </c>
    </row>
    <row r="20" spans="1:9" ht="19.5" customHeight="1">
      <c r="A20" s="48" t="s">
        <v>693</v>
      </c>
      <c r="B20" s="49" t="s">
        <v>694</v>
      </c>
      <c r="C20" s="50" t="s">
        <v>295</v>
      </c>
      <c r="D20" s="48" t="s">
        <v>27</v>
      </c>
      <c r="E20" s="51" t="str">
        <f t="shared" si="0"/>
        <v>✅</v>
      </c>
      <c r="F20" s="51" t="str">
        <f t="shared" si="1"/>
        <v/>
      </c>
      <c r="G20" s="52" t="s">
        <v>42</v>
      </c>
      <c r="H20" s="49"/>
      <c r="I20" s="81" t="s">
        <v>51</v>
      </c>
    </row>
    <row r="21" spans="1:9" ht="21.75" customHeight="1">
      <c r="A21" s="128" t="s">
        <v>695</v>
      </c>
      <c r="B21" s="109"/>
      <c r="C21" s="109"/>
      <c r="D21" s="109"/>
      <c r="E21" s="109"/>
      <c r="F21" s="109"/>
      <c r="G21" s="109"/>
      <c r="H21" s="109"/>
      <c r="I21" s="110"/>
    </row>
    <row r="22" spans="1:9" ht="19.5" customHeight="1">
      <c r="A22" s="43" t="s">
        <v>696</v>
      </c>
      <c r="B22" s="44" t="s">
        <v>697</v>
      </c>
      <c r="C22" s="45" t="s">
        <v>698</v>
      </c>
      <c r="D22" s="43" t="s">
        <v>24</v>
      </c>
      <c r="E22" s="46" t="str">
        <f t="shared" ref="E22:E33" si="2">IF(G22="Pass","✅","")</f>
        <v>✅</v>
      </c>
      <c r="F22" s="46" t="str">
        <f t="shared" ref="F22:F33" si="3">IF(G22="Fail","❌","")</f>
        <v/>
      </c>
      <c r="G22" s="47" t="s">
        <v>42</v>
      </c>
      <c r="H22" s="44"/>
      <c r="I22" s="81" t="s">
        <v>51</v>
      </c>
    </row>
    <row r="23" spans="1:9" ht="19.5" customHeight="1">
      <c r="A23" s="48" t="s">
        <v>699</v>
      </c>
      <c r="B23" s="49" t="s">
        <v>700</v>
      </c>
      <c r="C23" s="50" t="s">
        <v>698</v>
      </c>
      <c r="D23" s="48" t="s">
        <v>27</v>
      </c>
      <c r="E23" s="51" t="str">
        <f t="shared" si="2"/>
        <v>✅</v>
      </c>
      <c r="F23" s="51" t="str">
        <f t="shared" si="3"/>
        <v/>
      </c>
      <c r="G23" s="52" t="s">
        <v>42</v>
      </c>
      <c r="H23" s="49"/>
      <c r="I23" s="81" t="s">
        <v>51</v>
      </c>
    </row>
    <row r="24" spans="1:9" ht="19.5" customHeight="1">
      <c r="A24" s="43" t="s">
        <v>701</v>
      </c>
      <c r="B24" s="44" t="s">
        <v>702</v>
      </c>
      <c r="C24" s="45" t="s">
        <v>698</v>
      </c>
      <c r="D24" s="43" t="s">
        <v>24</v>
      </c>
      <c r="E24" s="46" t="str">
        <f t="shared" si="2"/>
        <v>✅</v>
      </c>
      <c r="F24" s="46" t="str">
        <f t="shared" si="3"/>
        <v/>
      </c>
      <c r="G24" s="47" t="s">
        <v>42</v>
      </c>
      <c r="H24" s="44"/>
      <c r="I24" s="81" t="s">
        <v>51</v>
      </c>
    </row>
    <row r="25" spans="1:9" ht="26.25" customHeight="1">
      <c r="A25" s="43" t="s">
        <v>703</v>
      </c>
      <c r="B25" s="44" t="s">
        <v>704</v>
      </c>
      <c r="C25" s="45" t="s">
        <v>698</v>
      </c>
      <c r="D25" s="43" t="s">
        <v>24</v>
      </c>
      <c r="E25" s="46" t="str">
        <f t="shared" si="2"/>
        <v/>
      </c>
      <c r="F25" s="46" t="str">
        <f t="shared" si="3"/>
        <v>❌</v>
      </c>
      <c r="G25" s="47" t="s">
        <v>43</v>
      </c>
      <c r="H25" s="79" t="s">
        <v>705</v>
      </c>
      <c r="I25" s="81" t="s">
        <v>51</v>
      </c>
    </row>
    <row r="26" spans="1:9" ht="19.5" customHeight="1">
      <c r="A26" s="48" t="s">
        <v>706</v>
      </c>
      <c r="B26" s="49" t="s">
        <v>707</v>
      </c>
      <c r="C26" s="50" t="s">
        <v>698</v>
      </c>
      <c r="D26" s="48" t="s">
        <v>27</v>
      </c>
      <c r="E26" s="51" t="str">
        <f t="shared" si="2"/>
        <v>✅</v>
      </c>
      <c r="F26" s="51" t="str">
        <f t="shared" si="3"/>
        <v/>
      </c>
      <c r="G26" s="52" t="s">
        <v>42</v>
      </c>
      <c r="H26" s="49"/>
      <c r="I26" s="81" t="s">
        <v>51</v>
      </c>
    </row>
    <row r="27" spans="1:9" ht="19.5" customHeight="1">
      <c r="A27" s="43" t="s">
        <v>708</v>
      </c>
      <c r="B27" s="44" t="s">
        <v>709</v>
      </c>
      <c r="C27" s="45" t="s">
        <v>698</v>
      </c>
      <c r="D27" s="43" t="s">
        <v>24</v>
      </c>
      <c r="E27" s="46" t="str">
        <f t="shared" si="2"/>
        <v>✅</v>
      </c>
      <c r="F27" s="46" t="str">
        <f t="shared" si="3"/>
        <v/>
      </c>
      <c r="G27" s="47" t="s">
        <v>42</v>
      </c>
      <c r="H27" s="44"/>
      <c r="I27" s="81" t="s">
        <v>51</v>
      </c>
    </row>
    <row r="28" spans="1:9" ht="19.5" customHeight="1">
      <c r="A28" s="48" t="s">
        <v>710</v>
      </c>
      <c r="B28" s="49" t="s">
        <v>711</v>
      </c>
      <c r="C28" s="50" t="s">
        <v>698</v>
      </c>
      <c r="D28" s="48" t="s">
        <v>27</v>
      </c>
      <c r="E28" s="51" t="str">
        <f t="shared" si="2"/>
        <v>✅</v>
      </c>
      <c r="F28" s="51" t="str">
        <f t="shared" si="3"/>
        <v/>
      </c>
      <c r="G28" s="52" t="s">
        <v>42</v>
      </c>
      <c r="H28" s="49"/>
      <c r="I28" s="81" t="s">
        <v>51</v>
      </c>
    </row>
    <row r="29" spans="1:9" ht="19.5" customHeight="1">
      <c r="A29" s="48" t="s">
        <v>712</v>
      </c>
      <c r="B29" s="49" t="s">
        <v>713</v>
      </c>
      <c r="C29" s="50" t="s">
        <v>698</v>
      </c>
      <c r="D29" s="48" t="s">
        <v>27</v>
      </c>
      <c r="E29" s="51" t="str">
        <f t="shared" si="2"/>
        <v>✅</v>
      </c>
      <c r="F29" s="51" t="str">
        <f t="shared" si="3"/>
        <v/>
      </c>
      <c r="G29" s="52" t="s">
        <v>42</v>
      </c>
      <c r="H29" s="49"/>
      <c r="I29" s="81" t="s">
        <v>51</v>
      </c>
    </row>
    <row r="30" spans="1:9" ht="19.5" customHeight="1">
      <c r="A30" s="43" t="s">
        <v>714</v>
      </c>
      <c r="B30" s="44" t="s">
        <v>715</v>
      </c>
      <c r="C30" s="45" t="s">
        <v>698</v>
      </c>
      <c r="D30" s="43" t="s">
        <v>24</v>
      </c>
      <c r="E30" s="46" t="str">
        <f t="shared" si="2"/>
        <v>✅</v>
      </c>
      <c r="F30" s="46" t="str">
        <f t="shared" si="3"/>
        <v/>
      </c>
      <c r="G30" s="47" t="s">
        <v>42</v>
      </c>
      <c r="H30" s="44"/>
      <c r="I30" s="81" t="s">
        <v>51</v>
      </c>
    </row>
    <row r="31" spans="1:9" ht="19.5" customHeight="1">
      <c r="A31" s="48" t="s">
        <v>716</v>
      </c>
      <c r="B31" s="49" t="s">
        <v>717</v>
      </c>
      <c r="C31" s="50" t="s">
        <v>698</v>
      </c>
      <c r="D31" s="48" t="s">
        <v>27</v>
      </c>
      <c r="E31" s="51" t="str">
        <f t="shared" si="2"/>
        <v>✅</v>
      </c>
      <c r="F31" s="51" t="str">
        <f t="shared" si="3"/>
        <v/>
      </c>
      <c r="G31" s="52" t="s">
        <v>42</v>
      </c>
      <c r="H31" s="49"/>
      <c r="I31" s="81" t="s">
        <v>51</v>
      </c>
    </row>
    <row r="32" spans="1:9" ht="45" customHeight="1">
      <c r="A32" s="48" t="s">
        <v>718</v>
      </c>
      <c r="B32" s="49" t="s">
        <v>719</v>
      </c>
      <c r="C32" s="50" t="s">
        <v>698</v>
      </c>
      <c r="D32" s="48" t="s">
        <v>27</v>
      </c>
      <c r="E32" s="51" t="str">
        <f t="shared" si="2"/>
        <v/>
      </c>
      <c r="F32" s="51" t="str">
        <f t="shared" si="3"/>
        <v>❌</v>
      </c>
      <c r="G32" s="52" t="s">
        <v>43</v>
      </c>
      <c r="H32" s="59" t="s">
        <v>720</v>
      </c>
      <c r="I32" s="81" t="s">
        <v>51</v>
      </c>
    </row>
    <row r="33" spans="1:9" ht="19.5" customHeight="1">
      <c r="A33" s="37" t="s">
        <v>721</v>
      </c>
      <c r="B33" s="38" t="s">
        <v>722</v>
      </c>
      <c r="C33" s="39" t="s">
        <v>698</v>
      </c>
      <c r="D33" s="37" t="s">
        <v>30</v>
      </c>
      <c r="E33" s="40" t="str">
        <f t="shared" si="2"/>
        <v>✅</v>
      </c>
      <c r="F33" s="40" t="str">
        <f t="shared" si="3"/>
        <v/>
      </c>
      <c r="G33" s="41" t="s">
        <v>42</v>
      </c>
      <c r="H33" s="38"/>
      <c r="I33" s="81" t="s">
        <v>51</v>
      </c>
    </row>
    <row r="34" spans="1:9" ht="21.75" customHeight="1">
      <c r="A34" s="128" t="s">
        <v>723</v>
      </c>
      <c r="B34" s="109"/>
      <c r="C34" s="109"/>
      <c r="D34" s="109"/>
      <c r="E34" s="109"/>
      <c r="F34" s="109"/>
      <c r="G34" s="109"/>
      <c r="H34" s="109"/>
      <c r="I34" s="110"/>
    </row>
    <row r="35" spans="1:9" ht="40.5" customHeight="1">
      <c r="A35" s="43" t="s">
        <v>724</v>
      </c>
      <c r="B35" s="44" t="s">
        <v>725</v>
      </c>
      <c r="C35" s="45" t="s">
        <v>726</v>
      </c>
      <c r="D35" s="43" t="s">
        <v>24</v>
      </c>
      <c r="E35" s="46" t="str">
        <f t="shared" ref="E35:E46" si="4">IF(G35="Pass","✅","")</f>
        <v/>
      </c>
      <c r="F35" s="46" t="str">
        <f t="shared" ref="F35:F46" si="5">IF(G35="Fail","❌","")</f>
        <v>❌</v>
      </c>
      <c r="G35" s="47" t="s">
        <v>43</v>
      </c>
      <c r="H35" s="82" t="s">
        <v>727</v>
      </c>
      <c r="I35" s="81" t="s">
        <v>51</v>
      </c>
    </row>
    <row r="36" spans="1:9" ht="19.5" customHeight="1">
      <c r="A36" s="43" t="s">
        <v>728</v>
      </c>
      <c r="B36" s="44" t="s">
        <v>729</v>
      </c>
      <c r="C36" s="45" t="s">
        <v>730</v>
      </c>
      <c r="D36" s="43" t="s">
        <v>24</v>
      </c>
      <c r="E36" s="46" t="str">
        <f t="shared" si="4"/>
        <v>✅</v>
      </c>
      <c r="F36" s="46" t="str">
        <f t="shared" si="5"/>
        <v/>
      </c>
      <c r="G36" s="47" t="s">
        <v>42</v>
      </c>
      <c r="H36" s="44"/>
      <c r="I36" s="81" t="s">
        <v>51</v>
      </c>
    </row>
    <row r="37" spans="1:9" ht="19.5" customHeight="1">
      <c r="A37" s="48" t="s">
        <v>731</v>
      </c>
      <c r="B37" s="49" t="s">
        <v>732</v>
      </c>
      <c r="C37" s="50" t="s">
        <v>733</v>
      </c>
      <c r="D37" s="48" t="s">
        <v>27</v>
      </c>
      <c r="E37" s="51" t="str">
        <f t="shared" si="4"/>
        <v>✅</v>
      </c>
      <c r="F37" s="51" t="str">
        <f t="shared" si="5"/>
        <v/>
      </c>
      <c r="G37" s="52" t="s">
        <v>42</v>
      </c>
      <c r="H37" s="49"/>
      <c r="I37" s="81" t="s">
        <v>51</v>
      </c>
    </row>
    <row r="38" spans="1:9" ht="19.5" customHeight="1">
      <c r="A38" s="43" t="s">
        <v>734</v>
      </c>
      <c r="B38" s="44" t="s">
        <v>735</v>
      </c>
      <c r="C38" s="45" t="s">
        <v>736</v>
      </c>
      <c r="D38" s="43" t="s">
        <v>24</v>
      </c>
      <c r="E38" s="46" t="str">
        <f t="shared" si="4"/>
        <v>✅</v>
      </c>
      <c r="F38" s="46" t="str">
        <f t="shared" si="5"/>
        <v/>
      </c>
      <c r="G38" s="47" t="s">
        <v>42</v>
      </c>
      <c r="H38" s="44"/>
      <c r="I38" s="81" t="s">
        <v>51</v>
      </c>
    </row>
    <row r="39" spans="1:9" ht="19.5" customHeight="1">
      <c r="A39" s="48" t="s">
        <v>737</v>
      </c>
      <c r="B39" s="49" t="s">
        <v>738</v>
      </c>
      <c r="C39" s="50" t="s">
        <v>739</v>
      </c>
      <c r="D39" s="48" t="s">
        <v>27</v>
      </c>
      <c r="E39" s="51" t="str">
        <f t="shared" si="4"/>
        <v>✅</v>
      </c>
      <c r="F39" s="51" t="str">
        <f t="shared" si="5"/>
        <v/>
      </c>
      <c r="G39" s="52" t="s">
        <v>42</v>
      </c>
      <c r="H39" s="49"/>
      <c r="I39" s="81" t="s">
        <v>51</v>
      </c>
    </row>
    <row r="40" spans="1:9" ht="19.5" customHeight="1">
      <c r="A40" s="48" t="s">
        <v>740</v>
      </c>
      <c r="B40" s="49" t="s">
        <v>741</v>
      </c>
      <c r="C40" s="50" t="s">
        <v>742</v>
      </c>
      <c r="D40" s="48" t="s">
        <v>27</v>
      </c>
      <c r="E40" s="51" t="str">
        <f t="shared" si="4"/>
        <v>✅</v>
      </c>
      <c r="F40" s="51" t="str">
        <f t="shared" si="5"/>
        <v/>
      </c>
      <c r="G40" s="52" t="s">
        <v>42</v>
      </c>
      <c r="H40" s="49"/>
      <c r="I40" s="81" t="s">
        <v>51</v>
      </c>
    </row>
    <row r="41" spans="1:9" ht="19.5" customHeight="1">
      <c r="A41" s="43" t="s">
        <v>743</v>
      </c>
      <c r="B41" s="44" t="s">
        <v>744</v>
      </c>
      <c r="C41" s="45" t="s">
        <v>745</v>
      </c>
      <c r="D41" s="43" t="s">
        <v>24</v>
      </c>
      <c r="E41" s="46" t="str">
        <f t="shared" si="4"/>
        <v>✅</v>
      </c>
      <c r="F41" s="46" t="str">
        <f t="shared" si="5"/>
        <v/>
      </c>
      <c r="G41" s="47" t="s">
        <v>42</v>
      </c>
      <c r="H41" s="44"/>
      <c r="I41" s="81" t="s">
        <v>51</v>
      </c>
    </row>
    <row r="42" spans="1:9" ht="19.5" customHeight="1">
      <c r="A42" s="48" t="s">
        <v>746</v>
      </c>
      <c r="B42" s="49" t="s">
        <v>747</v>
      </c>
      <c r="C42" s="50" t="s">
        <v>748</v>
      </c>
      <c r="D42" s="48" t="s">
        <v>27</v>
      </c>
      <c r="E42" s="51" t="str">
        <f t="shared" si="4"/>
        <v>✅</v>
      </c>
      <c r="F42" s="51" t="str">
        <f t="shared" si="5"/>
        <v/>
      </c>
      <c r="G42" s="52" t="s">
        <v>42</v>
      </c>
      <c r="H42" s="49"/>
      <c r="I42" s="81" t="s">
        <v>51</v>
      </c>
    </row>
    <row r="43" spans="1:9" ht="19.5" customHeight="1">
      <c r="A43" s="48" t="s">
        <v>749</v>
      </c>
      <c r="B43" s="49" t="s">
        <v>750</v>
      </c>
      <c r="C43" s="50" t="s">
        <v>751</v>
      </c>
      <c r="D43" s="48" t="s">
        <v>27</v>
      </c>
      <c r="E43" s="51" t="str">
        <f t="shared" si="4"/>
        <v>✅</v>
      </c>
      <c r="F43" s="51" t="str">
        <f t="shared" si="5"/>
        <v/>
      </c>
      <c r="G43" s="52" t="s">
        <v>42</v>
      </c>
      <c r="H43" s="49"/>
      <c r="I43" s="81" t="s">
        <v>51</v>
      </c>
    </row>
    <row r="44" spans="1:9" ht="19.5" customHeight="1">
      <c r="A44" s="48" t="s">
        <v>752</v>
      </c>
      <c r="B44" s="49" t="s">
        <v>753</v>
      </c>
      <c r="C44" s="50" t="s">
        <v>754</v>
      </c>
      <c r="D44" s="48" t="s">
        <v>27</v>
      </c>
      <c r="E44" s="51" t="str">
        <f t="shared" si="4"/>
        <v>✅</v>
      </c>
      <c r="F44" s="51" t="str">
        <f t="shared" si="5"/>
        <v/>
      </c>
      <c r="G44" s="52" t="s">
        <v>42</v>
      </c>
      <c r="H44" s="49"/>
      <c r="I44" s="81" t="s">
        <v>51</v>
      </c>
    </row>
    <row r="45" spans="1:9" ht="19.5" customHeight="1">
      <c r="A45" s="43" t="s">
        <v>755</v>
      </c>
      <c r="B45" s="44" t="s">
        <v>756</v>
      </c>
      <c r="C45" s="45" t="s">
        <v>757</v>
      </c>
      <c r="D45" s="43" t="s">
        <v>24</v>
      </c>
      <c r="E45" s="46" t="str">
        <f t="shared" si="4"/>
        <v>✅</v>
      </c>
      <c r="F45" s="46" t="str">
        <f t="shared" si="5"/>
        <v/>
      </c>
      <c r="G45" s="47" t="s">
        <v>42</v>
      </c>
      <c r="H45" s="44"/>
      <c r="I45" s="81" t="s">
        <v>51</v>
      </c>
    </row>
    <row r="46" spans="1:9" ht="60.75" customHeight="1">
      <c r="A46" s="37" t="s">
        <v>758</v>
      </c>
      <c r="B46" s="38" t="s">
        <v>759</v>
      </c>
      <c r="C46" s="39" t="s">
        <v>760</v>
      </c>
      <c r="D46" s="37" t="s">
        <v>30</v>
      </c>
      <c r="E46" s="40" t="str">
        <f t="shared" si="4"/>
        <v/>
      </c>
      <c r="F46" s="40" t="str">
        <f t="shared" si="5"/>
        <v>❌</v>
      </c>
      <c r="G46" s="41" t="s">
        <v>43</v>
      </c>
      <c r="H46" s="73" t="s">
        <v>761</v>
      </c>
      <c r="I46" s="81" t="s">
        <v>51</v>
      </c>
    </row>
    <row r="47" spans="1:9" ht="21.75" customHeight="1">
      <c r="A47" s="128" t="s">
        <v>762</v>
      </c>
      <c r="B47" s="109"/>
      <c r="C47" s="109"/>
      <c r="D47" s="109"/>
      <c r="E47" s="109"/>
      <c r="F47" s="109"/>
      <c r="G47" s="109"/>
      <c r="H47" s="109"/>
      <c r="I47" s="110"/>
    </row>
    <row r="48" spans="1:9" ht="19.5" customHeight="1">
      <c r="A48" s="43" t="s">
        <v>763</v>
      </c>
      <c r="B48" s="44" t="s">
        <v>764</v>
      </c>
      <c r="C48" s="45" t="s">
        <v>54</v>
      </c>
      <c r="D48" s="43" t="s">
        <v>24</v>
      </c>
      <c r="E48" s="46" t="str">
        <f t="shared" ref="E48:E54" si="6">IF(G48="Pass","✅","")</f>
        <v>✅</v>
      </c>
      <c r="F48" s="46" t="str">
        <f t="shared" ref="F48:F54" si="7">IF(G48="Fail","❌","")</f>
        <v/>
      </c>
      <c r="G48" s="47" t="s">
        <v>42</v>
      </c>
      <c r="H48" s="44"/>
      <c r="I48" s="81" t="s">
        <v>51</v>
      </c>
    </row>
    <row r="49" spans="1:9" ht="19.5" customHeight="1">
      <c r="A49" s="48" t="s">
        <v>765</v>
      </c>
      <c r="B49" s="49" t="s">
        <v>766</v>
      </c>
      <c r="C49" s="50" t="s">
        <v>54</v>
      </c>
      <c r="D49" s="48" t="s">
        <v>27</v>
      </c>
      <c r="E49" s="51" t="str">
        <f t="shared" si="6"/>
        <v>✅</v>
      </c>
      <c r="F49" s="51" t="str">
        <f t="shared" si="7"/>
        <v/>
      </c>
      <c r="G49" s="52" t="s">
        <v>42</v>
      </c>
      <c r="H49" s="49"/>
      <c r="I49" s="81" t="s">
        <v>51</v>
      </c>
    </row>
    <row r="50" spans="1:9" ht="19.5" customHeight="1">
      <c r="A50" s="48" t="s">
        <v>767</v>
      </c>
      <c r="B50" s="49" t="s">
        <v>768</v>
      </c>
      <c r="C50" s="50" t="s">
        <v>253</v>
      </c>
      <c r="D50" s="48" t="s">
        <v>27</v>
      </c>
      <c r="E50" s="51" t="str">
        <f t="shared" si="6"/>
        <v>✅</v>
      </c>
      <c r="F50" s="51" t="str">
        <f t="shared" si="7"/>
        <v/>
      </c>
      <c r="G50" s="52" t="s">
        <v>42</v>
      </c>
      <c r="H50" s="49"/>
      <c r="I50" s="81" t="s">
        <v>51</v>
      </c>
    </row>
    <row r="51" spans="1:9" ht="19.5" customHeight="1">
      <c r="A51" s="48" t="s">
        <v>769</v>
      </c>
      <c r="B51" s="49" t="s">
        <v>770</v>
      </c>
      <c r="C51" s="50" t="s">
        <v>253</v>
      </c>
      <c r="D51" s="48" t="s">
        <v>27</v>
      </c>
      <c r="E51" s="51" t="str">
        <f t="shared" si="6"/>
        <v>✅</v>
      </c>
      <c r="F51" s="51" t="str">
        <f t="shared" si="7"/>
        <v/>
      </c>
      <c r="G51" s="52" t="s">
        <v>42</v>
      </c>
      <c r="H51" s="49"/>
      <c r="I51" s="81" t="s">
        <v>51</v>
      </c>
    </row>
    <row r="52" spans="1:9" ht="19.5" customHeight="1">
      <c r="A52" s="48" t="s">
        <v>771</v>
      </c>
      <c r="B52" s="49" t="s">
        <v>772</v>
      </c>
      <c r="C52" s="50" t="s">
        <v>176</v>
      </c>
      <c r="D52" s="48" t="s">
        <v>27</v>
      </c>
      <c r="E52" s="51" t="str">
        <f t="shared" si="6"/>
        <v>✅</v>
      </c>
      <c r="F52" s="51" t="str">
        <f t="shared" si="7"/>
        <v/>
      </c>
      <c r="G52" s="52" t="s">
        <v>42</v>
      </c>
      <c r="H52" s="49"/>
      <c r="I52" s="81" t="s">
        <v>51</v>
      </c>
    </row>
    <row r="53" spans="1:9" ht="19.5" customHeight="1">
      <c r="A53" s="48" t="s">
        <v>773</v>
      </c>
      <c r="B53" s="49" t="s">
        <v>774</v>
      </c>
      <c r="C53" s="50" t="s">
        <v>54</v>
      </c>
      <c r="D53" s="48" t="s">
        <v>27</v>
      </c>
      <c r="E53" s="51" t="str">
        <f t="shared" si="6"/>
        <v/>
      </c>
      <c r="F53" s="51" t="str">
        <f t="shared" si="7"/>
        <v/>
      </c>
      <c r="G53" s="74" t="s">
        <v>162</v>
      </c>
      <c r="H53" s="49"/>
      <c r="I53" s="50"/>
    </row>
    <row r="54" spans="1:9" ht="19.5" customHeight="1">
      <c r="A54" s="37" t="s">
        <v>775</v>
      </c>
      <c r="B54" s="38" t="s">
        <v>776</v>
      </c>
      <c r="C54" s="39" t="s">
        <v>170</v>
      </c>
      <c r="D54" s="37" t="s">
        <v>30</v>
      </c>
      <c r="E54" s="40" t="str">
        <f t="shared" si="6"/>
        <v/>
      </c>
      <c r="F54" s="40" t="str">
        <f t="shared" si="7"/>
        <v/>
      </c>
      <c r="G54" s="83" t="s">
        <v>162</v>
      </c>
      <c r="H54" s="38"/>
      <c r="I54" s="39"/>
    </row>
    <row r="55" spans="1:9" ht="15.75" customHeight="1">
      <c r="G55" s="60"/>
    </row>
    <row r="56" spans="1:9" ht="21.75" customHeight="1">
      <c r="A56" s="129" t="s">
        <v>191</v>
      </c>
      <c r="B56" s="110"/>
      <c r="C56" s="61" t="s">
        <v>192</v>
      </c>
      <c r="D56" s="61" t="s">
        <v>193</v>
      </c>
      <c r="E56" s="61" t="s">
        <v>194</v>
      </c>
      <c r="F56" s="61" t="s">
        <v>162</v>
      </c>
      <c r="G56" s="61" t="s">
        <v>7</v>
      </c>
    </row>
    <row r="57" spans="1:9" ht="21.75" customHeight="1">
      <c r="C57" s="62">
        <f>COUNTA(G5:G54)</f>
        <v>46</v>
      </c>
      <c r="D57" s="63">
        <f>COUNTIF(G5:G54,"Pass")</f>
        <v>39</v>
      </c>
      <c r="E57" s="64">
        <f>COUNTIF(G5:G54,"Fail")</f>
        <v>5</v>
      </c>
      <c r="F57" s="65">
        <f>COUNTIF(G5:G54,"Not Run")</f>
        <v>2</v>
      </c>
      <c r="G57" s="66">
        <f>IFERROR(COUNTIF(G5:G54,"Pass")/COUNTA(G5:G54),0)</f>
        <v>0.84782608695652173</v>
      </c>
    </row>
    <row r="58" spans="1:9" ht="15.75" customHeight="1"/>
    <row r="59" spans="1:9" ht="15.75" customHeight="1"/>
    <row r="60" spans="1:9" ht="15.75" customHeight="1"/>
    <row r="61" spans="1:9" ht="15.75" customHeight="1"/>
    <row r="62" spans="1:9" ht="15.75" customHeight="1"/>
    <row r="63" spans="1:9" ht="15.75" customHeight="1"/>
    <row r="64" spans="1:9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47:I47"/>
    <mergeCell ref="A56:B56"/>
    <mergeCell ref="A1:I1"/>
    <mergeCell ref="A2:I2"/>
    <mergeCell ref="A5:I5"/>
    <mergeCell ref="A21:I21"/>
    <mergeCell ref="A34:I34"/>
  </mergeCells>
  <dataValidations count="1">
    <dataValidation type="list" allowBlank="1" sqref="G6:G20 G22:G33 G35:G46 G48:G55">
      <formula1>"Pass,Fail,Not Run,Blocked"</formula1>
    </dataValidation>
  </dataValidations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>
  <dimension ref="A1:I1000"/>
  <sheetViews>
    <sheetView showGridLines="0" workbookViewId="0">
      <pane ySplit="4" topLeftCell="A5" activePane="bottomLeft" state="frozen"/>
      <selection pane="bottomLeft" activeCell="B6" sqref="B6"/>
    </sheetView>
  </sheetViews>
  <sheetFormatPr defaultColWidth="14.42578125" defaultRowHeight="15" customHeight="1"/>
  <cols>
    <col min="1" max="1" width="10" customWidth="1"/>
    <col min="2" max="2" width="42" customWidth="1"/>
    <col min="3" max="3" width="24" customWidth="1"/>
    <col min="4" max="4" width="13" customWidth="1"/>
    <col min="5" max="6" width="10" customWidth="1"/>
    <col min="7" max="7" width="14" customWidth="1"/>
    <col min="8" max="8" width="36" customWidth="1"/>
    <col min="9" max="9" width="18" customWidth="1"/>
    <col min="10" max="26" width="8.7109375" customWidth="1"/>
  </cols>
  <sheetData>
    <row r="1" spans="1:9" ht="31.5" customHeight="1">
      <c r="A1" s="130" t="s">
        <v>777</v>
      </c>
      <c r="B1" s="119"/>
      <c r="C1" s="119"/>
      <c r="D1" s="119"/>
      <c r="E1" s="119"/>
      <c r="F1" s="119"/>
      <c r="G1" s="119"/>
      <c r="H1" s="119"/>
      <c r="I1" s="120"/>
    </row>
    <row r="2" spans="1:9" ht="15.75" customHeight="1">
      <c r="A2" s="131" t="s">
        <v>37</v>
      </c>
      <c r="B2" s="119"/>
      <c r="C2" s="119"/>
      <c r="D2" s="119"/>
      <c r="E2" s="119"/>
      <c r="F2" s="119"/>
      <c r="G2" s="119"/>
      <c r="H2" s="119"/>
      <c r="I2" s="120"/>
    </row>
    <row r="3" spans="1:9" ht="6" customHeight="1">
      <c r="H3" s="67"/>
    </row>
    <row r="4" spans="1:9" ht="21.75" customHeight="1">
      <c r="A4" s="36" t="s">
        <v>38</v>
      </c>
      <c r="B4" s="36" t="s">
        <v>39</v>
      </c>
      <c r="C4" s="36" t="s">
        <v>40</v>
      </c>
      <c r="D4" s="36" t="s">
        <v>41</v>
      </c>
      <c r="E4" s="36" t="s">
        <v>42</v>
      </c>
      <c r="F4" s="36" t="s">
        <v>43</v>
      </c>
      <c r="G4" s="36" t="s">
        <v>44</v>
      </c>
      <c r="H4" s="68" t="s">
        <v>45</v>
      </c>
      <c r="I4" s="36" t="s">
        <v>46</v>
      </c>
    </row>
    <row r="5" spans="1:9" ht="21.75" customHeight="1">
      <c r="A5" s="128" t="s">
        <v>778</v>
      </c>
      <c r="B5" s="109"/>
      <c r="C5" s="109"/>
      <c r="D5" s="109"/>
      <c r="E5" s="109"/>
      <c r="F5" s="109"/>
      <c r="G5" s="109"/>
      <c r="H5" s="109"/>
      <c r="I5" s="110"/>
    </row>
    <row r="6" spans="1:9" ht="19.5" customHeight="1">
      <c r="A6" s="43" t="s">
        <v>779</v>
      </c>
      <c r="B6" s="44" t="s">
        <v>780</v>
      </c>
      <c r="C6" s="45" t="s">
        <v>50</v>
      </c>
      <c r="D6" s="43" t="s">
        <v>24</v>
      </c>
      <c r="E6" s="46" t="str">
        <f t="shared" ref="E6:E15" si="0">IF(G6="Pass","✅","")</f>
        <v>✅</v>
      </c>
      <c r="F6" s="46" t="str">
        <f t="shared" ref="F6:F15" si="1">IF(G6="Fail","❌","")</f>
        <v/>
      </c>
      <c r="G6" s="47" t="s">
        <v>42</v>
      </c>
      <c r="H6" s="72" t="s">
        <v>781</v>
      </c>
      <c r="I6" s="81" t="s">
        <v>51</v>
      </c>
    </row>
    <row r="7" spans="1:9" ht="19.5" customHeight="1">
      <c r="A7" s="43" t="s">
        <v>782</v>
      </c>
      <c r="B7" s="44" t="s">
        <v>783</v>
      </c>
      <c r="C7" s="45" t="s">
        <v>50</v>
      </c>
      <c r="D7" s="43" t="s">
        <v>24</v>
      </c>
      <c r="E7" s="46" t="str">
        <f t="shared" si="0"/>
        <v>✅</v>
      </c>
      <c r="F7" s="46" t="str">
        <f t="shared" si="1"/>
        <v/>
      </c>
      <c r="G7" s="47" t="s">
        <v>42</v>
      </c>
      <c r="H7" s="72" t="s">
        <v>784</v>
      </c>
      <c r="I7" s="81" t="s">
        <v>51</v>
      </c>
    </row>
    <row r="8" spans="1:9" ht="26.25" customHeight="1">
      <c r="A8" s="43" t="s">
        <v>785</v>
      </c>
      <c r="B8" s="44" t="s">
        <v>786</v>
      </c>
      <c r="C8" s="45" t="s">
        <v>50</v>
      </c>
      <c r="D8" s="43" t="s">
        <v>24</v>
      </c>
      <c r="E8" s="46" t="str">
        <f t="shared" si="0"/>
        <v>✅</v>
      </c>
      <c r="F8" s="46" t="str">
        <f t="shared" si="1"/>
        <v/>
      </c>
      <c r="G8" s="47" t="s">
        <v>42</v>
      </c>
      <c r="H8" s="72" t="s">
        <v>787</v>
      </c>
      <c r="I8" s="81" t="s">
        <v>51</v>
      </c>
    </row>
    <row r="9" spans="1:9" ht="19.5" customHeight="1">
      <c r="A9" s="43" t="s">
        <v>788</v>
      </c>
      <c r="B9" s="44" t="s">
        <v>789</v>
      </c>
      <c r="C9" s="45" t="s">
        <v>50</v>
      </c>
      <c r="D9" s="43" t="s">
        <v>24</v>
      </c>
      <c r="E9" s="46" t="str">
        <f t="shared" si="0"/>
        <v>✅</v>
      </c>
      <c r="F9" s="46" t="str">
        <f t="shared" si="1"/>
        <v/>
      </c>
      <c r="G9" s="47" t="s">
        <v>42</v>
      </c>
      <c r="H9" s="72" t="s">
        <v>790</v>
      </c>
      <c r="I9" s="81" t="s">
        <v>51</v>
      </c>
    </row>
    <row r="10" spans="1:9" ht="19.5" customHeight="1">
      <c r="A10" s="48" t="s">
        <v>791</v>
      </c>
      <c r="B10" s="49" t="s">
        <v>792</v>
      </c>
      <c r="C10" s="50" t="s">
        <v>50</v>
      </c>
      <c r="D10" s="48" t="s">
        <v>27</v>
      </c>
      <c r="E10" s="51" t="str">
        <f t="shared" si="0"/>
        <v>✅</v>
      </c>
      <c r="F10" s="51" t="str">
        <f t="shared" si="1"/>
        <v/>
      </c>
      <c r="G10" s="52" t="s">
        <v>42</v>
      </c>
      <c r="H10" s="70" t="s">
        <v>793</v>
      </c>
      <c r="I10" s="81" t="s">
        <v>51</v>
      </c>
    </row>
    <row r="11" spans="1:9" ht="19.5" customHeight="1">
      <c r="A11" s="48" t="s">
        <v>794</v>
      </c>
      <c r="B11" s="49" t="s">
        <v>780</v>
      </c>
      <c r="C11" s="50" t="s">
        <v>139</v>
      </c>
      <c r="D11" s="48" t="s">
        <v>27</v>
      </c>
      <c r="E11" s="51" t="str">
        <f t="shared" si="0"/>
        <v>✅</v>
      </c>
      <c r="F11" s="51" t="str">
        <f t="shared" si="1"/>
        <v/>
      </c>
      <c r="G11" s="52" t="s">
        <v>42</v>
      </c>
      <c r="H11" s="70" t="s">
        <v>795</v>
      </c>
      <c r="I11" s="81" t="s">
        <v>51</v>
      </c>
    </row>
    <row r="12" spans="1:9" ht="19.5" customHeight="1">
      <c r="A12" s="48" t="s">
        <v>796</v>
      </c>
      <c r="B12" s="49" t="s">
        <v>783</v>
      </c>
      <c r="C12" s="50" t="s">
        <v>139</v>
      </c>
      <c r="D12" s="48" t="s">
        <v>27</v>
      </c>
      <c r="E12" s="51" t="str">
        <f t="shared" si="0"/>
        <v>✅</v>
      </c>
      <c r="F12" s="51" t="str">
        <f t="shared" si="1"/>
        <v/>
      </c>
      <c r="G12" s="52" t="s">
        <v>42</v>
      </c>
      <c r="H12" s="70" t="s">
        <v>797</v>
      </c>
      <c r="I12" s="81" t="s">
        <v>51</v>
      </c>
    </row>
    <row r="13" spans="1:9" ht="19.5" customHeight="1">
      <c r="A13" s="43" t="s">
        <v>798</v>
      </c>
      <c r="B13" s="44" t="s">
        <v>780</v>
      </c>
      <c r="C13" s="45" t="s">
        <v>456</v>
      </c>
      <c r="D13" s="43" t="s">
        <v>24</v>
      </c>
      <c r="E13" s="46" t="str">
        <f t="shared" si="0"/>
        <v>✅</v>
      </c>
      <c r="F13" s="46" t="str">
        <f t="shared" si="1"/>
        <v/>
      </c>
      <c r="G13" s="47" t="s">
        <v>42</v>
      </c>
      <c r="H13" s="72" t="s">
        <v>799</v>
      </c>
      <c r="I13" s="81" t="s">
        <v>51</v>
      </c>
    </row>
    <row r="14" spans="1:9" ht="19.5" customHeight="1">
      <c r="A14" s="43" t="s">
        <v>800</v>
      </c>
      <c r="B14" s="44" t="s">
        <v>801</v>
      </c>
      <c r="C14" s="45" t="s">
        <v>456</v>
      </c>
      <c r="D14" s="43" t="s">
        <v>24</v>
      </c>
      <c r="E14" s="46" t="str">
        <f t="shared" si="0"/>
        <v>✅</v>
      </c>
      <c r="F14" s="46" t="str">
        <f t="shared" si="1"/>
        <v/>
      </c>
      <c r="G14" s="47" t="s">
        <v>42</v>
      </c>
      <c r="H14" s="72" t="s">
        <v>802</v>
      </c>
      <c r="I14" s="81" t="s">
        <v>51</v>
      </c>
    </row>
    <row r="15" spans="1:9" ht="30" customHeight="1">
      <c r="A15" s="48" t="s">
        <v>803</v>
      </c>
      <c r="B15" s="49" t="s">
        <v>804</v>
      </c>
      <c r="C15" s="50" t="s">
        <v>805</v>
      </c>
      <c r="D15" s="48" t="s">
        <v>27</v>
      </c>
      <c r="E15" s="51" t="str">
        <f t="shared" si="0"/>
        <v/>
      </c>
      <c r="F15" s="51" t="str">
        <f t="shared" si="1"/>
        <v/>
      </c>
      <c r="G15" s="74" t="s">
        <v>162</v>
      </c>
      <c r="H15" s="70" t="s">
        <v>806</v>
      </c>
      <c r="I15" s="81" t="s">
        <v>51</v>
      </c>
    </row>
    <row r="16" spans="1:9" ht="21.75" customHeight="1">
      <c r="A16" s="128" t="s">
        <v>807</v>
      </c>
      <c r="B16" s="109"/>
      <c r="C16" s="109"/>
      <c r="D16" s="109"/>
      <c r="E16" s="109"/>
      <c r="F16" s="109"/>
      <c r="G16" s="109"/>
      <c r="H16" s="109"/>
      <c r="I16" s="110"/>
    </row>
    <row r="17" spans="1:9" ht="19.5" customHeight="1">
      <c r="A17" s="48" t="s">
        <v>808</v>
      </c>
      <c r="B17" s="49" t="s">
        <v>809</v>
      </c>
      <c r="C17" s="50" t="s">
        <v>139</v>
      </c>
      <c r="D17" s="48" t="s">
        <v>27</v>
      </c>
      <c r="E17" s="51" t="str">
        <f t="shared" ref="E17:E26" si="2">IF(G17="Pass","✅","")</f>
        <v>✅</v>
      </c>
      <c r="F17" s="51" t="str">
        <f t="shared" ref="F17:F26" si="3">IF(G17="Fail","❌","")</f>
        <v/>
      </c>
      <c r="G17" s="52" t="s">
        <v>42</v>
      </c>
      <c r="H17" s="70" t="s">
        <v>810</v>
      </c>
      <c r="I17" s="50"/>
    </row>
    <row r="18" spans="1:9" ht="27.75" customHeight="1">
      <c r="A18" s="48" t="s">
        <v>811</v>
      </c>
      <c r="B18" s="49" t="s">
        <v>812</v>
      </c>
      <c r="C18" s="50" t="s">
        <v>142</v>
      </c>
      <c r="D18" s="48" t="s">
        <v>27</v>
      </c>
      <c r="E18" s="51" t="str">
        <f t="shared" si="2"/>
        <v/>
      </c>
      <c r="F18" s="51" t="str">
        <f t="shared" si="3"/>
        <v/>
      </c>
      <c r="G18" s="74" t="s">
        <v>162</v>
      </c>
      <c r="H18" s="70" t="s">
        <v>813</v>
      </c>
      <c r="I18" s="50"/>
    </row>
    <row r="19" spans="1:9" ht="22.5" customHeight="1">
      <c r="A19" s="48" t="s">
        <v>814</v>
      </c>
      <c r="B19" s="49" t="s">
        <v>815</v>
      </c>
      <c r="C19" s="50" t="s">
        <v>54</v>
      </c>
      <c r="D19" s="48" t="s">
        <v>27</v>
      </c>
      <c r="E19" s="51" t="str">
        <f t="shared" si="2"/>
        <v>✅</v>
      </c>
      <c r="F19" s="51" t="str">
        <f t="shared" si="3"/>
        <v/>
      </c>
      <c r="G19" s="52" t="s">
        <v>42</v>
      </c>
      <c r="H19" s="70" t="s">
        <v>816</v>
      </c>
      <c r="I19" s="50"/>
    </row>
    <row r="20" spans="1:9" ht="27.75" customHeight="1">
      <c r="A20" s="48" t="s">
        <v>817</v>
      </c>
      <c r="B20" s="49" t="s">
        <v>818</v>
      </c>
      <c r="C20" s="50" t="s">
        <v>54</v>
      </c>
      <c r="D20" s="48" t="s">
        <v>27</v>
      </c>
      <c r="E20" s="51" t="str">
        <f t="shared" si="2"/>
        <v>✅</v>
      </c>
      <c r="F20" s="51" t="str">
        <f t="shared" si="3"/>
        <v/>
      </c>
      <c r="G20" s="52" t="s">
        <v>42</v>
      </c>
      <c r="H20" s="70" t="s">
        <v>816</v>
      </c>
      <c r="I20" s="50"/>
    </row>
    <row r="21" spans="1:9" ht="19.5" customHeight="1">
      <c r="A21" s="43" t="s">
        <v>819</v>
      </c>
      <c r="B21" s="44" t="s">
        <v>820</v>
      </c>
      <c r="C21" s="45" t="s">
        <v>54</v>
      </c>
      <c r="D21" s="43" t="s">
        <v>24</v>
      </c>
      <c r="E21" s="46" t="str">
        <f t="shared" si="2"/>
        <v>✅</v>
      </c>
      <c r="F21" s="46" t="str">
        <f t="shared" si="3"/>
        <v/>
      </c>
      <c r="G21" s="47" t="s">
        <v>42</v>
      </c>
      <c r="H21" s="72" t="s">
        <v>821</v>
      </c>
      <c r="I21" s="45"/>
    </row>
    <row r="22" spans="1:9" ht="27.75" customHeight="1">
      <c r="A22" s="37" t="s">
        <v>822</v>
      </c>
      <c r="B22" s="38" t="s">
        <v>823</v>
      </c>
      <c r="C22" s="39" t="s">
        <v>824</v>
      </c>
      <c r="D22" s="37" t="s">
        <v>30</v>
      </c>
      <c r="E22" s="40" t="str">
        <f t="shared" si="2"/>
        <v/>
      </c>
      <c r="F22" s="40" t="str">
        <f t="shared" si="3"/>
        <v>❌</v>
      </c>
      <c r="G22" s="41" t="s">
        <v>43</v>
      </c>
      <c r="H22" s="73" t="s">
        <v>825</v>
      </c>
      <c r="I22" s="39"/>
    </row>
    <row r="23" spans="1:9" ht="28.5" customHeight="1">
      <c r="A23" s="48" t="s">
        <v>826</v>
      </c>
      <c r="B23" s="49" t="s">
        <v>827</v>
      </c>
      <c r="C23" s="50" t="s">
        <v>54</v>
      </c>
      <c r="D23" s="48" t="s">
        <v>27</v>
      </c>
      <c r="E23" s="51" t="str">
        <f t="shared" si="2"/>
        <v/>
      </c>
      <c r="F23" s="51" t="str">
        <f t="shared" si="3"/>
        <v/>
      </c>
      <c r="G23" s="74" t="s">
        <v>162</v>
      </c>
      <c r="H23" s="70" t="s">
        <v>828</v>
      </c>
      <c r="I23" s="50"/>
    </row>
    <row r="24" spans="1:9" ht="26.25" customHeight="1">
      <c r="A24" s="48" t="s">
        <v>829</v>
      </c>
      <c r="B24" s="49" t="s">
        <v>830</v>
      </c>
      <c r="C24" s="50" t="s">
        <v>831</v>
      </c>
      <c r="D24" s="48" t="s">
        <v>27</v>
      </c>
      <c r="E24" s="51" t="str">
        <f t="shared" si="2"/>
        <v>✅</v>
      </c>
      <c r="F24" s="51" t="str">
        <f t="shared" si="3"/>
        <v/>
      </c>
      <c r="G24" s="52" t="s">
        <v>42</v>
      </c>
      <c r="H24" s="70" t="s">
        <v>832</v>
      </c>
      <c r="I24" s="50"/>
    </row>
    <row r="25" spans="1:9" ht="37.5" customHeight="1">
      <c r="A25" s="37" t="s">
        <v>833</v>
      </c>
      <c r="B25" s="38" t="s">
        <v>834</v>
      </c>
      <c r="C25" s="39" t="s">
        <v>54</v>
      </c>
      <c r="D25" s="37" t="s">
        <v>30</v>
      </c>
      <c r="E25" s="40" t="str">
        <f t="shared" si="2"/>
        <v/>
      </c>
      <c r="F25" s="40" t="str">
        <f t="shared" si="3"/>
        <v>❌</v>
      </c>
      <c r="G25" s="41" t="s">
        <v>43</v>
      </c>
      <c r="H25" s="84" t="s">
        <v>835</v>
      </c>
      <c r="I25" s="39"/>
    </row>
    <row r="26" spans="1:9" ht="26.25" customHeight="1">
      <c r="A26" s="37" t="s">
        <v>836</v>
      </c>
      <c r="B26" s="38" t="s">
        <v>837</v>
      </c>
      <c r="C26" s="39" t="s">
        <v>54</v>
      </c>
      <c r="D26" s="37" t="s">
        <v>30</v>
      </c>
      <c r="E26" s="40" t="str">
        <f t="shared" si="2"/>
        <v/>
      </c>
      <c r="F26" s="40" t="str">
        <f t="shared" si="3"/>
        <v>❌</v>
      </c>
      <c r="G26" s="41" t="s">
        <v>43</v>
      </c>
      <c r="H26" s="73" t="s">
        <v>838</v>
      </c>
      <c r="I26" s="39"/>
    </row>
    <row r="27" spans="1:9" ht="21.75" customHeight="1">
      <c r="A27" s="128" t="s">
        <v>839</v>
      </c>
      <c r="B27" s="109"/>
      <c r="C27" s="109"/>
      <c r="D27" s="109"/>
      <c r="E27" s="109"/>
      <c r="F27" s="109"/>
      <c r="G27" s="109"/>
      <c r="H27" s="109"/>
      <c r="I27" s="110"/>
    </row>
    <row r="28" spans="1:9" ht="28.5" customHeight="1">
      <c r="A28" s="48" t="s">
        <v>840</v>
      </c>
      <c r="B28" s="49" t="s">
        <v>841</v>
      </c>
      <c r="C28" s="50" t="s">
        <v>83</v>
      </c>
      <c r="D28" s="48" t="s">
        <v>27</v>
      </c>
      <c r="E28" s="51" t="str">
        <f t="shared" ref="E28:E37" si="4">IF(G28="Pass","✅","")</f>
        <v>✅</v>
      </c>
      <c r="F28" s="51" t="str">
        <f t="shared" ref="F28:F37" si="5">IF(G28="Fail","❌","")</f>
        <v/>
      </c>
      <c r="G28" s="52" t="s">
        <v>42</v>
      </c>
      <c r="H28" s="70" t="s">
        <v>842</v>
      </c>
      <c r="I28" s="81" t="s">
        <v>51</v>
      </c>
    </row>
    <row r="29" spans="1:9" ht="22.5" customHeight="1">
      <c r="A29" s="48" t="s">
        <v>843</v>
      </c>
      <c r="B29" s="49" t="s">
        <v>844</v>
      </c>
      <c r="C29" s="50" t="s">
        <v>687</v>
      </c>
      <c r="D29" s="48" t="s">
        <v>27</v>
      </c>
      <c r="E29" s="51" t="str">
        <f t="shared" si="4"/>
        <v>✅</v>
      </c>
      <c r="F29" s="51" t="str">
        <f t="shared" si="5"/>
        <v/>
      </c>
      <c r="G29" s="52" t="s">
        <v>42</v>
      </c>
      <c r="H29" s="85" t="s">
        <v>845</v>
      </c>
      <c r="I29" s="81" t="s">
        <v>51</v>
      </c>
    </row>
    <row r="30" spans="1:9" ht="44.25" customHeight="1">
      <c r="A30" s="48" t="s">
        <v>846</v>
      </c>
      <c r="B30" s="49" t="s">
        <v>847</v>
      </c>
      <c r="C30" s="50" t="s">
        <v>72</v>
      </c>
      <c r="D30" s="48" t="s">
        <v>27</v>
      </c>
      <c r="E30" s="51" t="str">
        <f t="shared" si="4"/>
        <v>✅</v>
      </c>
      <c r="F30" s="51" t="str">
        <f t="shared" si="5"/>
        <v/>
      </c>
      <c r="G30" s="52" t="s">
        <v>42</v>
      </c>
      <c r="H30" s="70" t="s">
        <v>848</v>
      </c>
      <c r="I30" s="81" t="s">
        <v>51</v>
      </c>
    </row>
    <row r="31" spans="1:9" ht="36.75" customHeight="1">
      <c r="A31" s="48" t="s">
        <v>849</v>
      </c>
      <c r="B31" s="49" t="s">
        <v>850</v>
      </c>
      <c r="C31" s="50" t="s">
        <v>170</v>
      </c>
      <c r="D31" s="48" t="s">
        <v>27</v>
      </c>
      <c r="E31" s="51" t="str">
        <f t="shared" si="4"/>
        <v>✅</v>
      </c>
      <c r="F31" s="51" t="str">
        <f t="shared" si="5"/>
        <v/>
      </c>
      <c r="G31" s="52" t="s">
        <v>42</v>
      </c>
      <c r="H31" s="70" t="s">
        <v>851</v>
      </c>
      <c r="I31" s="81" t="s">
        <v>51</v>
      </c>
    </row>
    <row r="32" spans="1:9" ht="46.5" customHeight="1">
      <c r="A32" s="48" t="s">
        <v>852</v>
      </c>
      <c r="B32" s="49" t="s">
        <v>853</v>
      </c>
      <c r="C32" s="50" t="s">
        <v>253</v>
      </c>
      <c r="D32" s="48" t="s">
        <v>27</v>
      </c>
      <c r="E32" s="51" t="str">
        <f t="shared" si="4"/>
        <v>✅</v>
      </c>
      <c r="F32" s="51" t="str">
        <f t="shared" si="5"/>
        <v/>
      </c>
      <c r="G32" s="52" t="s">
        <v>42</v>
      </c>
      <c r="H32" s="86" t="s">
        <v>854</v>
      </c>
      <c r="I32" s="81" t="s">
        <v>51</v>
      </c>
    </row>
    <row r="33" spans="1:9" ht="19.5" customHeight="1">
      <c r="A33" s="48" t="s">
        <v>855</v>
      </c>
      <c r="B33" s="49" t="s">
        <v>856</v>
      </c>
      <c r="C33" s="50" t="s">
        <v>346</v>
      </c>
      <c r="D33" s="48" t="s">
        <v>27</v>
      </c>
      <c r="E33" s="51" t="str">
        <f t="shared" si="4"/>
        <v>✅</v>
      </c>
      <c r="F33" s="51" t="str">
        <f t="shared" si="5"/>
        <v/>
      </c>
      <c r="G33" s="52" t="s">
        <v>42</v>
      </c>
      <c r="H33" s="85" t="s">
        <v>857</v>
      </c>
      <c r="I33" s="81" t="s">
        <v>51</v>
      </c>
    </row>
    <row r="34" spans="1:9" ht="19.5" customHeight="1">
      <c r="A34" s="43" t="s">
        <v>858</v>
      </c>
      <c r="B34" s="79" t="s">
        <v>859</v>
      </c>
      <c r="C34" s="45" t="s">
        <v>860</v>
      </c>
      <c r="D34" s="43" t="s">
        <v>24</v>
      </c>
      <c r="E34" s="46" t="str">
        <f t="shared" si="4"/>
        <v>✅</v>
      </c>
      <c r="F34" s="46" t="str">
        <f t="shared" si="5"/>
        <v/>
      </c>
      <c r="G34" s="47" t="s">
        <v>42</v>
      </c>
      <c r="H34" s="87" t="s">
        <v>861</v>
      </c>
      <c r="I34" s="81" t="s">
        <v>51</v>
      </c>
    </row>
    <row r="35" spans="1:9" ht="19.5" customHeight="1">
      <c r="A35" s="48" t="s">
        <v>862</v>
      </c>
      <c r="B35" s="49" t="s">
        <v>863</v>
      </c>
      <c r="C35" s="50" t="s">
        <v>864</v>
      </c>
      <c r="D35" s="48" t="s">
        <v>27</v>
      </c>
      <c r="E35" s="51" t="str">
        <f t="shared" si="4"/>
        <v>✅</v>
      </c>
      <c r="F35" s="51" t="str">
        <f t="shared" si="5"/>
        <v/>
      </c>
      <c r="G35" s="52" t="s">
        <v>42</v>
      </c>
      <c r="H35" s="71"/>
      <c r="I35" s="81" t="s">
        <v>51</v>
      </c>
    </row>
    <row r="36" spans="1:9" ht="19.5" customHeight="1">
      <c r="A36" s="48" t="s">
        <v>865</v>
      </c>
      <c r="B36" s="49" t="s">
        <v>866</v>
      </c>
      <c r="C36" s="50" t="s">
        <v>867</v>
      </c>
      <c r="D36" s="48" t="s">
        <v>27</v>
      </c>
      <c r="E36" s="51" t="str">
        <f t="shared" si="4"/>
        <v>✅</v>
      </c>
      <c r="F36" s="51" t="str">
        <f t="shared" si="5"/>
        <v/>
      </c>
      <c r="G36" s="52" t="s">
        <v>42</v>
      </c>
      <c r="H36" s="70" t="s">
        <v>868</v>
      </c>
      <c r="I36" s="81" t="s">
        <v>51</v>
      </c>
    </row>
    <row r="37" spans="1:9" ht="60" customHeight="1">
      <c r="A37" s="37" t="s">
        <v>869</v>
      </c>
      <c r="B37" s="38" t="s">
        <v>870</v>
      </c>
      <c r="C37" s="39" t="s">
        <v>190</v>
      </c>
      <c r="D37" s="37" t="s">
        <v>30</v>
      </c>
      <c r="E37" s="40" t="str">
        <f t="shared" si="4"/>
        <v/>
      </c>
      <c r="F37" s="40" t="str">
        <f t="shared" si="5"/>
        <v>❌</v>
      </c>
      <c r="G37" s="41" t="s">
        <v>43</v>
      </c>
      <c r="H37" s="73" t="s">
        <v>871</v>
      </c>
      <c r="I37" s="81" t="s">
        <v>51</v>
      </c>
    </row>
    <row r="38" spans="1:9" ht="21.75" customHeight="1">
      <c r="A38" s="128" t="s">
        <v>872</v>
      </c>
      <c r="B38" s="109"/>
      <c r="C38" s="109"/>
      <c r="D38" s="109"/>
      <c r="E38" s="109"/>
      <c r="F38" s="109"/>
      <c r="G38" s="109"/>
      <c r="H38" s="109"/>
      <c r="I38" s="110"/>
    </row>
    <row r="39" spans="1:9" ht="54" customHeight="1">
      <c r="A39" s="48" t="s">
        <v>873</v>
      </c>
      <c r="B39" s="49" t="s">
        <v>874</v>
      </c>
      <c r="C39" s="50" t="s">
        <v>875</v>
      </c>
      <c r="D39" s="48" t="s">
        <v>27</v>
      </c>
      <c r="E39" s="51" t="str">
        <f t="shared" ref="E39:E46" si="6">IF(G39="Pass","✅","")</f>
        <v>✅</v>
      </c>
      <c r="F39" s="51" t="str">
        <f t="shared" ref="F39:F46" si="7">IF(G39="Fail","❌","")</f>
        <v/>
      </c>
      <c r="G39" s="52" t="s">
        <v>42</v>
      </c>
      <c r="H39" s="70" t="s">
        <v>876</v>
      </c>
      <c r="I39" s="81" t="s">
        <v>51</v>
      </c>
    </row>
    <row r="40" spans="1:9" ht="19.5" customHeight="1">
      <c r="A40" s="48" t="s">
        <v>877</v>
      </c>
      <c r="B40" s="49" t="s">
        <v>878</v>
      </c>
      <c r="C40" s="50" t="s">
        <v>875</v>
      </c>
      <c r="D40" s="48" t="s">
        <v>27</v>
      </c>
      <c r="E40" s="51" t="str">
        <f t="shared" si="6"/>
        <v/>
      </c>
      <c r="F40" s="51" t="str">
        <f t="shared" si="7"/>
        <v/>
      </c>
      <c r="G40" s="74" t="s">
        <v>162</v>
      </c>
      <c r="H40" s="70" t="s">
        <v>879</v>
      </c>
      <c r="I40" s="81" t="s">
        <v>51</v>
      </c>
    </row>
    <row r="41" spans="1:9" ht="19.5" customHeight="1">
      <c r="A41" s="43" t="s">
        <v>880</v>
      </c>
      <c r="B41" s="44" t="s">
        <v>881</v>
      </c>
      <c r="C41" s="45" t="s">
        <v>875</v>
      </c>
      <c r="D41" s="43" t="s">
        <v>24</v>
      </c>
      <c r="E41" s="46" t="str">
        <f t="shared" si="6"/>
        <v/>
      </c>
      <c r="F41" s="46" t="str">
        <f t="shared" si="7"/>
        <v/>
      </c>
      <c r="G41" s="78" t="s">
        <v>162</v>
      </c>
      <c r="H41" s="72" t="s">
        <v>882</v>
      </c>
      <c r="I41" s="81" t="s">
        <v>51</v>
      </c>
    </row>
    <row r="42" spans="1:9" ht="54.75" customHeight="1">
      <c r="A42" s="37" t="s">
        <v>883</v>
      </c>
      <c r="B42" s="38" t="s">
        <v>884</v>
      </c>
      <c r="C42" s="39" t="s">
        <v>885</v>
      </c>
      <c r="D42" s="37" t="s">
        <v>30</v>
      </c>
      <c r="E42" s="40" t="str">
        <f t="shared" si="6"/>
        <v/>
      </c>
      <c r="F42" s="40" t="str">
        <f t="shared" si="7"/>
        <v>❌</v>
      </c>
      <c r="G42" s="41" t="s">
        <v>43</v>
      </c>
      <c r="H42" s="73" t="s">
        <v>886</v>
      </c>
      <c r="I42" s="81" t="s">
        <v>51</v>
      </c>
    </row>
    <row r="43" spans="1:9" ht="19.5" customHeight="1">
      <c r="A43" s="37" t="s">
        <v>887</v>
      </c>
      <c r="B43" s="38" t="s">
        <v>888</v>
      </c>
      <c r="C43" s="39" t="s">
        <v>889</v>
      </c>
      <c r="D43" s="37" t="s">
        <v>30</v>
      </c>
      <c r="E43" s="40" t="str">
        <f t="shared" si="6"/>
        <v/>
      </c>
      <c r="F43" s="40" t="str">
        <f t="shared" si="7"/>
        <v>❌</v>
      </c>
      <c r="G43" s="41" t="s">
        <v>43</v>
      </c>
      <c r="H43" s="77"/>
      <c r="I43" s="81" t="s">
        <v>51</v>
      </c>
    </row>
    <row r="44" spans="1:9" ht="19.5" customHeight="1">
      <c r="A44" s="37" t="s">
        <v>890</v>
      </c>
      <c r="B44" s="38" t="s">
        <v>891</v>
      </c>
      <c r="C44" s="39" t="s">
        <v>892</v>
      </c>
      <c r="D44" s="37" t="s">
        <v>30</v>
      </c>
      <c r="E44" s="40" t="str">
        <f t="shared" si="6"/>
        <v>✅</v>
      </c>
      <c r="F44" s="40" t="str">
        <f t="shared" si="7"/>
        <v/>
      </c>
      <c r="G44" s="41" t="s">
        <v>42</v>
      </c>
      <c r="H44" s="77"/>
      <c r="I44" s="81" t="s">
        <v>51</v>
      </c>
    </row>
    <row r="45" spans="1:9" ht="19.5" customHeight="1">
      <c r="A45" s="43" t="s">
        <v>893</v>
      </c>
      <c r="B45" s="44" t="s">
        <v>894</v>
      </c>
      <c r="C45" s="45" t="s">
        <v>54</v>
      </c>
      <c r="D45" s="43" t="s">
        <v>24</v>
      </c>
      <c r="E45" s="46" t="str">
        <f t="shared" si="6"/>
        <v/>
      </c>
      <c r="F45" s="46" t="str">
        <f t="shared" si="7"/>
        <v/>
      </c>
      <c r="G45" s="78" t="s">
        <v>162</v>
      </c>
      <c r="H45" s="69" t="s">
        <v>895</v>
      </c>
      <c r="I45" s="81" t="s">
        <v>51</v>
      </c>
    </row>
    <row r="46" spans="1:9" ht="19.5" customHeight="1">
      <c r="A46" s="48" t="s">
        <v>896</v>
      </c>
      <c r="B46" s="49" t="s">
        <v>897</v>
      </c>
      <c r="C46" s="50" t="s">
        <v>898</v>
      </c>
      <c r="D46" s="48" t="s">
        <v>27</v>
      </c>
      <c r="E46" s="51" t="str">
        <f t="shared" si="6"/>
        <v/>
      </c>
      <c r="F46" s="51" t="str">
        <f t="shared" si="7"/>
        <v/>
      </c>
      <c r="G46" s="74" t="s">
        <v>162</v>
      </c>
      <c r="H46" s="71" t="s">
        <v>899</v>
      </c>
      <c r="I46" s="81" t="s">
        <v>51</v>
      </c>
    </row>
    <row r="47" spans="1:9" ht="21.75" customHeight="1">
      <c r="A47" s="128" t="s">
        <v>900</v>
      </c>
      <c r="B47" s="109"/>
      <c r="C47" s="109"/>
      <c r="D47" s="109"/>
      <c r="E47" s="109"/>
      <c r="F47" s="109"/>
      <c r="G47" s="109"/>
      <c r="H47" s="109"/>
      <c r="I47" s="110"/>
    </row>
    <row r="48" spans="1:9" ht="69.75" customHeight="1">
      <c r="A48" s="48" t="s">
        <v>901</v>
      </c>
      <c r="B48" s="49" t="s">
        <v>902</v>
      </c>
      <c r="C48" s="50" t="s">
        <v>54</v>
      </c>
      <c r="D48" s="48" t="s">
        <v>27</v>
      </c>
      <c r="E48" s="51" t="str">
        <f t="shared" ref="E48:E52" si="8">IF(G48="Pass","✅","")</f>
        <v/>
      </c>
      <c r="F48" s="51" t="str">
        <f t="shared" ref="F48:F52" si="9">IF(G48="Fail","❌","")</f>
        <v>❌</v>
      </c>
      <c r="G48" s="52" t="s">
        <v>43</v>
      </c>
      <c r="H48" s="70" t="s">
        <v>903</v>
      </c>
      <c r="I48" s="81" t="s">
        <v>51</v>
      </c>
    </row>
    <row r="49" spans="1:9" ht="36" customHeight="1">
      <c r="A49" s="48" t="s">
        <v>904</v>
      </c>
      <c r="B49" s="49" t="s">
        <v>905</v>
      </c>
      <c r="C49" s="50" t="s">
        <v>54</v>
      </c>
      <c r="D49" s="48" t="s">
        <v>27</v>
      </c>
      <c r="E49" s="51" t="str">
        <f t="shared" si="8"/>
        <v>✅</v>
      </c>
      <c r="F49" s="51" t="str">
        <f t="shared" si="9"/>
        <v/>
      </c>
      <c r="G49" s="52" t="s">
        <v>42</v>
      </c>
      <c r="H49" s="70" t="s">
        <v>906</v>
      </c>
      <c r="I49" s="81" t="s">
        <v>51</v>
      </c>
    </row>
    <row r="50" spans="1:9" ht="44.25" customHeight="1">
      <c r="A50" s="37" t="s">
        <v>907</v>
      </c>
      <c r="B50" s="38" t="s">
        <v>908</v>
      </c>
      <c r="C50" s="39" t="s">
        <v>54</v>
      </c>
      <c r="D50" s="37" t="s">
        <v>30</v>
      </c>
      <c r="E50" s="40" t="str">
        <f t="shared" si="8"/>
        <v>✅</v>
      </c>
      <c r="F50" s="40" t="str">
        <f t="shared" si="9"/>
        <v/>
      </c>
      <c r="G50" s="41" t="s">
        <v>42</v>
      </c>
      <c r="H50" s="88" t="s">
        <v>909</v>
      </c>
      <c r="I50" s="81" t="s">
        <v>51</v>
      </c>
    </row>
    <row r="51" spans="1:9" ht="48.75" customHeight="1">
      <c r="A51" s="37" t="s">
        <v>910</v>
      </c>
      <c r="B51" s="38" t="s">
        <v>911</v>
      </c>
      <c r="C51" s="39" t="s">
        <v>912</v>
      </c>
      <c r="D51" s="37" t="s">
        <v>30</v>
      </c>
      <c r="E51" s="40" t="str">
        <f t="shared" si="8"/>
        <v/>
      </c>
      <c r="F51" s="40" t="str">
        <f t="shared" si="9"/>
        <v>❌</v>
      </c>
      <c r="G51" s="41" t="s">
        <v>43</v>
      </c>
      <c r="H51" s="73" t="s">
        <v>913</v>
      </c>
      <c r="I51" s="81" t="s">
        <v>51</v>
      </c>
    </row>
    <row r="52" spans="1:9" ht="64.5" customHeight="1">
      <c r="A52" s="43" t="s">
        <v>914</v>
      </c>
      <c r="B52" s="44" t="s">
        <v>915</v>
      </c>
      <c r="C52" s="45" t="s">
        <v>54</v>
      </c>
      <c r="D52" s="43" t="s">
        <v>24</v>
      </c>
      <c r="E52" s="46" t="str">
        <f t="shared" si="8"/>
        <v/>
      </c>
      <c r="F52" s="46" t="str">
        <f t="shared" si="9"/>
        <v>❌</v>
      </c>
      <c r="G52" s="47" t="s">
        <v>43</v>
      </c>
      <c r="H52" s="72" t="s">
        <v>916</v>
      </c>
      <c r="I52" s="81" t="s">
        <v>51</v>
      </c>
    </row>
    <row r="53" spans="1:9" ht="15.75" customHeight="1">
      <c r="G53" s="60"/>
      <c r="H53" s="67"/>
    </row>
    <row r="54" spans="1:9" ht="21.75" customHeight="1">
      <c r="A54" s="129" t="s">
        <v>191</v>
      </c>
      <c r="B54" s="110"/>
      <c r="C54" s="61" t="s">
        <v>192</v>
      </c>
      <c r="D54" s="61" t="s">
        <v>193</v>
      </c>
      <c r="E54" s="61" t="s">
        <v>194</v>
      </c>
      <c r="F54" s="61" t="s">
        <v>162</v>
      </c>
      <c r="G54" s="61" t="s">
        <v>7</v>
      </c>
      <c r="H54" s="67"/>
    </row>
    <row r="55" spans="1:9" ht="21.75" customHeight="1">
      <c r="C55" s="62">
        <f>COUNTA(G5:G52)</f>
        <v>43</v>
      </c>
      <c r="D55" s="63">
        <f>COUNTIF(G5:G52,"Pass")</f>
        <v>27</v>
      </c>
      <c r="E55" s="64">
        <f>COUNTIF(G5:G52,"Fail")</f>
        <v>9</v>
      </c>
      <c r="F55" s="65">
        <f>COUNTIF(G5:G52,"Not Run")</f>
        <v>7</v>
      </c>
      <c r="G55" s="66">
        <f>IFERROR(COUNTIF(G5:G52,"Pass")/COUNTA(G5:G52),0)</f>
        <v>0.62790697674418605</v>
      </c>
      <c r="H55" s="67"/>
    </row>
    <row r="56" spans="1:9" ht="15.75" customHeight="1">
      <c r="H56" s="67"/>
    </row>
    <row r="57" spans="1:9" ht="15.75" customHeight="1">
      <c r="H57" s="67"/>
    </row>
    <row r="58" spans="1:9" ht="15.75" customHeight="1">
      <c r="H58" s="67"/>
    </row>
    <row r="59" spans="1:9" ht="15.75" customHeight="1">
      <c r="H59" s="67"/>
    </row>
    <row r="60" spans="1:9" ht="15.75" customHeight="1">
      <c r="H60" s="67"/>
    </row>
    <row r="61" spans="1:9" ht="15.75" customHeight="1">
      <c r="H61" s="67"/>
    </row>
    <row r="62" spans="1:9" ht="15.75" customHeight="1">
      <c r="H62" s="67"/>
    </row>
    <row r="63" spans="1:9" ht="15.75" customHeight="1">
      <c r="H63" s="67"/>
    </row>
    <row r="64" spans="1:9" ht="15.75" customHeight="1">
      <c r="H64" s="67"/>
    </row>
    <row r="65" spans="8:8" ht="15.75" customHeight="1">
      <c r="H65" s="67"/>
    </row>
    <row r="66" spans="8:8" ht="15.75" customHeight="1">
      <c r="H66" s="67"/>
    </row>
    <row r="67" spans="8:8" ht="15.75" customHeight="1">
      <c r="H67" s="67"/>
    </row>
    <row r="68" spans="8:8" ht="15.75" customHeight="1">
      <c r="H68" s="67"/>
    </row>
    <row r="69" spans="8:8" ht="15.75" customHeight="1">
      <c r="H69" s="67"/>
    </row>
    <row r="70" spans="8:8" ht="15.75" customHeight="1">
      <c r="H70" s="67"/>
    </row>
    <row r="71" spans="8:8" ht="15.75" customHeight="1">
      <c r="H71" s="67"/>
    </row>
    <row r="72" spans="8:8" ht="15.75" customHeight="1">
      <c r="H72" s="67"/>
    </row>
    <row r="73" spans="8:8" ht="15.75" customHeight="1">
      <c r="H73" s="67"/>
    </row>
    <row r="74" spans="8:8" ht="15.75" customHeight="1">
      <c r="H74" s="67"/>
    </row>
    <row r="75" spans="8:8" ht="15.75" customHeight="1">
      <c r="H75" s="67"/>
    </row>
    <row r="76" spans="8:8" ht="15.75" customHeight="1">
      <c r="H76" s="67"/>
    </row>
    <row r="77" spans="8:8" ht="15.75" customHeight="1">
      <c r="H77" s="67"/>
    </row>
    <row r="78" spans="8:8" ht="15.75" customHeight="1">
      <c r="H78" s="67"/>
    </row>
    <row r="79" spans="8:8" ht="15.75" customHeight="1">
      <c r="H79" s="67"/>
    </row>
    <row r="80" spans="8:8" ht="15.75" customHeight="1">
      <c r="H80" s="67"/>
    </row>
    <row r="81" spans="8:8" ht="15.75" customHeight="1">
      <c r="H81" s="67"/>
    </row>
    <row r="82" spans="8:8" ht="15.75" customHeight="1">
      <c r="H82" s="67"/>
    </row>
    <row r="83" spans="8:8" ht="15.75" customHeight="1">
      <c r="H83" s="67"/>
    </row>
    <row r="84" spans="8:8" ht="15.75" customHeight="1">
      <c r="H84" s="67"/>
    </row>
    <row r="85" spans="8:8" ht="15.75" customHeight="1">
      <c r="H85" s="67"/>
    </row>
    <row r="86" spans="8:8" ht="15.75" customHeight="1">
      <c r="H86" s="67"/>
    </row>
    <row r="87" spans="8:8" ht="15.75" customHeight="1">
      <c r="H87" s="67"/>
    </row>
    <row r="88" spans="8:8" ht="15.75" customHeight="1">
      <c r="H88" s="67"/>
    </row>
    <row r="89" spans="8:8" ht="15.75" customHeight="1">
      <c r="H89" s="67"/>
    </row>
    <row r="90" spans="8:8" ht="15.75" customHeight="1">
      <c r="H90" s="67"/>
    </row>
    <row r="91" spans="8:8" ht="15.75" customHeight="1">
      <c r="H91" s="67"/>
    </row>
    <row r="92" spans="8:8" ht="15.75" customHeight="1">
      <c r="H92" s="67"/>
    </row>
    <row r="93" spans="8:8" ht="15.75" customHeight="1">
      <c r="H93" s="67"/>
    </row>
    <row r="94" spans="8:8" ht="15.75" customHeight="1">
      <c r="H94" s="67"/>
    </row>
    <row r="95" spans="8:8" ht="15.75" customHeight="1">
      <c r="H95" s="67"/>
    </row>
    <row r="96" spans="8:8" ht="15.75" customHeight="1">
      <c r="H96" s="67"/>
    </row>
    <row r="97" spans="8:8" ht="15.75" customHeight="1">
      <c r="H97" s="67"/>
    </row>
    <row r="98" spans="8:8" ht="15.75" customHeight="1">
      <c r="H98" s="67"/>
    </row>
    <row r="99" spans="8:8" ht="15.75" customHeight="1">
      <c r="H99" s="67"/>
    </row>
    <row r="100" spans="8:8" ht="15.75" customHeight="1">
      <c r="H100" s="67"/>
    </row>
    <row r="101" spans="8:8" ht="15.75" customHeight="1">
      <c r="H101" s="67"/>
    </row>
    <row r="102" spans="8:8" ht="15.75" customHeight="1">
      <c r="H102" s="67"/>
    </row>
    <row r="103" spans="8:8" ht="15.75" customHeight="1">
      <c r="H103" s="67"/>
    </row>
    <row r="104" spans="8:8" ht="15.75" customHeight="1">
      <c r="H104" s="67"/>
    </row>
    <row r="105" spans="8:8" ht="15.75" customHeight="1">
      <c r="H105" s="67"/>
    </row>
    <row r="106" spans="8:8" ht="15.75" customHeight="1">
      <c r="H106" s="67"/>
    </row>
    <row r="107" spans="8:8" ht="15.75" customHeight="1">
      <c r="H107" s="67"/>
    </row>
    <row r="108" spans="8:8" ht="15.75" customHeight="1">
      <c r="H108" s="67"/>
    </row>
    <row r="109" spans="8:8" ht="15.75" customHeight="1">
      <c r="H109" s="67"/>
    </row>
    <row r="110" spans="8:8" ht="15.75" customHeight="1">
      <c r="H110" s="67"/>
    </row>
    <row r="111" spans="8:8" ht="15.75" customHeight="1">
      <c r="H111" s="67"/>
    </row>
    <row r="112" spans="8:8" ht="15.75" customHeight="1">
      <c r="H112" s="67"/>
    </row>
    <row r="113" spans="8:8" ht="15.75" customHeight="1">
      <c r="H113" s="67"/>
    </row>
    <row r="114" spans="8:8" ht="15.75" customHeight="1">
      <c r="H114" s="67"/>
    </row>
    <row r="115" spans="8:8" ht="15.75" customHeight="1">
      <c r="H115" s="67"/>
    </row>
    <row r="116" spans="8:8" ht="15.75" customHeight="1">
      <c r="H116" s="67"/>
    </row>
    <row r="117" spans="8:8" ht="15.75" customHeight="1">
      <c r="H117" s="67"/>
    </row>
    <row r="118" spans="8:8" ht="15.75" customHeight="1">
      <c r="H118" s="67"/>
    </row>
    <row r="119" spans="8:8" ht="15.75" customHeight="1">
      <c r="H119" s="67"/>
    </row>
    <row r="120" spans="8:8" ht="15.75" customHeight="1">
      <c r="H120" s="67"/>
    </row>
    <row r="121" spans="8:8" ht="15.75" customHeight="1">
      <c r="H121" s="67"/>
    </row>
    <row r="122" spans="8:8" ht="15.75" customHeight="1">
      <c r="H122" s="67"/>
    </row>
    <row r="123" spans="8:8" ht="15.75" customHeight="1">
      <c r="H123" s="67"/>
    </row>
    <row r="124" spans="8:8" ht="15.75" customHeight="1">
      <c r="H124" s="67"/>
    </row>
    <row r="125" spans="8:8" ht="15.75" customHeight="1">
      <c r="H125" s="67"/>
    </row>
    <row r="126" spans="8:8" ht="15.75" customHeight="1">
      <c r="H126" s="67"/>
    </row>
    <row r="127" spans="8:8" ht="15.75" customHeight="1">
      <c r="H127" s="67"/>
    </row>
    <row r="128" spans="8:8" ht="15.75" customHeight="1">
      <c r="H128" s="67"/>
    </row>
    <row r="129" spans="8:8" ht="15.75" customHeight="1">
      <c r="H129" s="67"/>
    </row>
    <row r="130" spans="8:8" ht="15.75" customHeight="1">
      <c r="H130" s="67"/>
    </row>
    <row r="131" spans="8:8" ht="15.75" customHeight="1">
      <c r="H131" s="67"/>
    </row>
    <row r="132" spans="8:8" ht="15.75" customHeight="1">
      <c r="H132" s="67"/>
    </row>
    <row r="133" spans="8:8" ht="15.75" customHeight="1">
      <c r="H133" s="67"/>
    </row>
    <row r="134" spans="8:8" ht="15.75" customHeight="1">
      <c r="H134" s="67"/>
    </row>
    <row r="135" spans="8:8" ht="15.75" customHeight="1">
      <c r="H135" s="67"/>
    </row>
    <row r="136" spans="8:8" ht="15.75" customHeight="1">
      <c r="H136" s="67"/>
    </row>
    <row r="137" spans="8:8" ht="15.75" customHeight="1">
      <c r="H137" s="67"/>
    </row>
    <row r="138" spans="8:8" ht="15.75" customHeight="1">
      <c r="H138" s="67"/>
    </row>
    <row r="139" spans="8:8" ht="15.75" customHeight="1">
      <c r="H139" s="67"/>
    </row>
    <row r="140" spans="8:8" ht="15.75" customHeight="1">
      <c r="H140" s="67"/>
    </row>
    <row r="141" spans="8:8" ht="15.75" customHeight="1">
      <c r="H141" s="67"/>
    </row>
    <row r="142" spans="8:8" ht="15.75" customHeight="1">
      <c r="H142" s="67"/>
    </row>
    <row r="143" spans="8:8" ht="15.75" customHeight="1">
      <c r="H143" s="67"/>
    </row>
    <row r="144" spans="8:8" ht="15.75" customHeight="1">
      <c r="H144" s="67"/>
    </row>
    <row r="145" spans="8:8" ht="15.75" customHeight="1">
      <c r="H145" s="67"/>
    </row>
    <row r="146" spans="8:8" ht="15.75" customHeight="1">
      <c r="H146" s="67"/>
    </row>
    <row r="147" spans="8:8" ht="15.75" customHeight="1">
      <c r="H147" s="67"/>
    </row>
    <row r="148" spans="8:8" ht="15.75" customHeight="1">
      <c r="H148" s="67"/>
    </row>
    <row r="149" spans="8:8" ht="15.75" customHeight="1">
      <c r="H149" s="67"/>
    </row>
    <row r="150" spans="8:8" ht="15.75" customHeight="1">
      <c r="H150" s="67"/>
    </row>
    <row r="151" spans="8:8" ht="15.75" customHeight="1">
      <c r="H151" s="67"/>
    </row>
    <row r="152" spans="8:8" ht="15.75" customHeight="1">
      <c r="H152" s="67"/>
    </row>
    <row r="153" spans="8:8" ht="15.75" customHeight="1">
      <c r="H153" s="67"/>
    </row>
    <row r="154" spans="8:8" ht="15.75" customHeight="1">
      <c r="H154" s="67"/>
    </row>
    <row r="155" spans="8:8" ht="15.75" customHeight="1">
      <c r="H155" s="67"/>
    </row>
    <row r="156" spans="8:8" ht="15.75" customHeight="1">
      <c r="H156" s="67"/>
    </row>
    <row r="157" spans="8:8" ht="15.75" customHeight="1">
      <c r="H157" s="67"/>
    </row>
    <row r="158" spans="8:8" ht="15.75" customHeight="1">
      <c r="H158" s="67"/>
    </row>
    <row r="159" spans="8:8" ht="15.75" customHeight="1">
      <c r="H159" s="67"/>
    </row>
    <row r="160" spans="8:8" ht="15.75" customHeight="1">
      <c r="H160" s="67"/>
    </row>
    <row r="161" spans="8:8" ht="15.75" customHeight="1">
      <c r="H161" s="67"/>
    </row>
    <row r="162" spans="8:8" ht="15.75" customHeight="1">
      <c r="H162" s="67"/>
    </row>
    <row r="163" spans="8:8" ht="15.75" customHeight="1">
      <c r="H163" s="67"/>
    </row>
    <row r="164" spans="8:8" ht="15.75" customHeight="1">
      <c r="H164" s="67"/>
    </row>
    <row r="165" spans="8:8" ht="15.75" customHeight="1">
      <c r="H165" s="67"/>
    </row>
    <row r="166" spans="8:8" ht="15.75" customHeight="1">
      <c r="H166" s="67"/>
    </row>
    <row r="167" spans="8:8" ht="15.75" customHeight="1">
      <c r="H167" s="67"/>
    </row>
    <row r="168" spans="8:8" ht="15.75" customHeight="1">
      <c r="H168" s="67"/>
    </row>
    <row r="169" spans="8:8" ht="15.75" customHeight="1">
      <c r="H169" s="67"/>
    </row>
    <row r="170" spans="8:8" ht="15.75" customHeight="1">
      <c r="H170" s="67"/>
    </row>
    <row r="171" spans="8:8" ht="15.75" customHeight="1">
      <c r="H171" s="67"/>
    </row>
    <row r="172" spans="8:8" ht="15.75" customHeight="1">
      <c r="H172" s="67"/>
    </row>
    <row r="173" spans="8:8" ht="15.75" customHeight="1">
      <c r="H173" s="67"/>
    </row>
    <row r="174" spans="8:8" ht="15.75" customHeight="1">
      <c r="H174" s="67"/>
    </row>
    <row r="175" spans="8:8" ht="15.75" customHeight="1">
      <c r="H175" s="67"/>
    </row>
    <row r="176" spans="8:8" ht="15.75" customHeight="1">
      <c r="H176" s="67"/>
    </row>
    <row r="177" spans="8:8" ht="15.75" customHeight="1">
      <c r="H177" s="67"/>
    </row>
    <row r="178" spans="8:8" ht="15.75" customHeight="1">
      <c r="H178" s="67"/>
    </row>
    <row r="179" spans="8:8" ht="15.75" customHeight="1">
      <c r="H179" s="67"/>
    </row>
    <row r="180" spans="8:8" ht="15.75" customHeight="1">
      <c r="H180" s="67"/>
    </row>
    <row r="181" spans="8:8" ht="15.75" customHeight="1">
      <c r="H181" s="67"/>
    </row>
    <row r="182" spans="8:8" ht="15.75" customHeight="1">
      <c r="H182" s="67"/>
    </row>
    <row r="183" spans="8:8" ht="15.75" customHeight="1">
      <c r="H183" s="67"/>
    </row>
    <row r="184" spans="8:8" ht="15.75" customHeight="1">
      <c r="H184" s="67"/>
    </row>
    <row r="185" spans="8:8" ht="15.75" customHeight="1">
      <c r="H185" s="67"/>
    </row>
    <row r="186" spans="8:8" ht="15.75" customHeight="1">
      <c r="H186" s="67"/>
    </row>
    <row r="187" spans="8:8" ht="15.75" customHeight="1">
      <c r="H187" s="67"/>
    </row>
    <row r="188" spans="8:8" ht="15.75" customHeight="1">
      <c r="H188" s="67"/>
    </row>
    <row r="189" spans="8:8" ht="15.75" customHeight="1">
      <c r="H189" s="67"/>
    </row>
    <row r="190" spans="8:8" ht="15.75" customHeight="1">
      <c r="H190" s="67"/>
    </row>
    <row r="191" spans="8:8" ht="15.75" customHeight="1">
      <c r="H191" s="67"/>
    </row>
    <row r="192" spans="8:8" ht="15.75" customHeight="1">
      <c r="H192" s="67"/>
    </row>
    <row r="193" spans="8:8" ht="15.75" customHeight="1">
      <c r="H193" s="67"/>
    </row>
    <row r="194" spans="8:8" ht="15.75" customHeight="1">
      <c r="H194" s="67"/>
    </row>
    <row r="195" spans="8:8" ht="15.75" customHeight="1">
      <c r="H195" s="67"/>
    </row>
    <row r="196" spans="8:8" ht="15.75" customHeight="1">
      <c r="H196" s="67"/>
    </row>
    <row r="197" spans="8:8" ht="15.75" customHeight="1">
      <c r="H197" s="67"/>
    </row>
    <row r="198" spans="8:8" ht="15.75" customHeight="1">
      <c r="H198" s="67"/>
    </row>
    <row r="199" spans="8:8" ht="15.75" customHeight="1">
      <c r="H199" s="67"/>
    </row>
    <row r="200" spans="8:8" ht="15.75" customHeight="1">
      <c r="H200" s="67"/>
    </row>
    <row r="201" spans="8:8" ht="15.75" customHeight="1">
      <c r="H201" s="67"/>
    </row>
    <row r="202" spans="8:8" ht="15.75" customHeight="1">
      <c r="H202" s="67"/>
    </row>
    <row r="203" spans="8:8" ht="15.75" customHeight="1">
      <c r="H203" s="67"/>
    </row>
    <row r="204" spans="8:8" ht="15.75" customHeight="1">
      <c r="H204" s="67"/>
    </row>
    <row r="205" spans="8:8" ht="15.75" customHeight="1">
      <c r="H205" s="67"/>
    </row>
    <row r="206" spans="8:8" ht="15.75" customHeight="1">
      <c r="H206" s="67"/>
    </row>
    <row r="207" spans="8:8" ht="15.75" customHeight="1">
      <c r="H207" s="67"/>
    </row>
    <row r="208" spans="8:8" ht="15.75" customHeight="1">
      <c r="H208" s="67"/>
    </row>
    <row r="209" spans="8:8" ht="15.75" customHeight="1">
      <c r="H209" s="67"/>
    </row>
    <row r="210" spans="8:8" ht="15.75" customHeight="1">
      <c r="H210" s="67"/>
    </row>
    <row r="211" spans="8:8" ht="15.75" customHeight="1">
      <c r="H211" s="67"/>
    </row>
    <row r="212" spans="8:8" ht="15.75" customHeight="1">
      <c r="H212" s="67"/>
    </row>
    <row r="213" spans="8:8" ht="15.75" customHeight="1">
      <c r="H213" s="67"/>
    </row>
    <row r="214" spans="8:8" ht="15.75" customHeight="1">
      <c r="H214" s="67"/>
    </row>
    <row r="215" spans="8:8" ht="15.75" customHeight="1">
      <c r="H215" s="67"/>
    </row>
    <row r="216" spans="8:8" ht="15.75" customHeight="1">
      <c r="H216" s="67"/>
    </row>
    <row r="217" spans="8:8" ht="15.75" customHeight="1">
      <c r="H217" s="67"/>
    </row>
    <row r="218" spans="8:8" ht="15.75" customHeight="1">
      <c r="H218" s="67"/>
    </row>
    <row r="219" spans="8:8" ht="15.75" customHeight="1">
      <c r="H219" s="67"/>
    </row>
    <row r="220" spans="8:8" ht="15.75" customHeight="1">
      <c r="H220" s="67"/>
    </row>
    <row r="221" spans="8:8" ht="15.75" customHeight="1">
      <c r="H221" s="67"/>
    </row>
    <row r="222" spans="8:8" ht="15.75" customHeight="1">
      <c r="H222" s="67"/>
    </row>
    <row r="223" spans="8:8" ht="15.75" customHeight="1">
      <c r="H223" s="67"/>
    </row>
    <row r="224" spans="8:8" ht="15.75" customHeight="1">
      <c r="H224" s="67"/>
    </row>
    <row r="225" spans="8:8" ht="15.75" customHeight="1">
      <c r="H225" s="67"/>
    </row>
    <row r="226" spans="8:8" ht="15.75" customHeight="1">
      <c r="H226" s="67"/>
    </row>
    <row r="227" spans="8:8" ht="15.75" customHeight="1">
      <c r="H227" s="67"/>
    </row>
    <row r="228" spans="8:8" ht="15.75" customHeight="1">
      <c r="H228" s="67"/>
    </row>
    <row r="229" spans="8:8" ht="15.75" customHeight="1">
      <c r="H229" s="67"/>
    </row>
    <row r="230" spans="8:8" ht="15.75" customHeight="1">
      <c r="H230" s="67"/>
    </row>
    <row r="231" spans="8:8" ht="15.75" customHeight="1">
      <c r="H231" s="67"/>
    </row>
    <row r="232" spans="8:8" ht="15.75" customHeight="1">
      <c r="H232" s="67"/>
    </row>
    <row r="233" spans="8:8" ht="15.75" customHeight="1">
      <c r="H233" s="67"/>
    </row>
    <row r="234" spans="8:8" ht="15.75" customHeight="1">
      <c r="H234" s="67"/>
    </row>
    <row r="235" spans="8:8" ht="15.75" customHeight="1">
      <c r="H235" s="67"/>
    </row>
    <row r="236" spans="8:8" ht="15.75" customHeight="1">
      <c r="H236" s="67"/>
    </row>
    <row r="237" spans="8:8" ht="15.75" customHeight="1">
      <c r="H237" s="67"/>
    </row>
    <row r="238" spans="8:8" ht="15.75" customHeight="1">
      <c r="H238" s="67"/>
    </row>
    <row r="239" spans="8:8" ht="15.75" customHeight="1">
      <c r="H239" s="67"/>
    </row>
    <row r="240" spans="8:8" ht="15.75" customHeight="1">
      <c r="H240" s="67"/>
    </row>
    <row r="241" spans="8:8" ht="15.75" customHeight="1">
      <c r="H241" s="67"/>
    </row>
    <row r="242" spans="8:8" ht="15.75" customHeight="1">
      <c r="H242" s="67"/>
    </row>
    <row r="243" spans="8:8" ht="15.75" customHeight="1">
      <c r="H243" s="67"/>
    </row>
    <row r="244" spans="8:8" ht="15.75" customHeight="1">
      <c r="H244" s="67"/>
    </row>
    <row r="245" spans="8:8" ht="15.75" customHeight="1">
      <c r="H245" s="67"/>
    </row>
    <row r="246" spans="8:8" ht="15.75" customHeight="1">
      <c r="H246" s="67"/>
    </row>
    <row r="247" spans="8:8" ht="15.75" customHeight="1">
      <c r="H247" s="67"/>
    </row>
    <row r="248" spans="8:8" ht="15.75" customHeight="1">
      <c r="H248" s="67"/>
    </row>
    <row r="249" spans="8:8" ht="15.75" customHeight="1">
      <c r="H249" s="67"/>
    </row>
    <row r="250" spans="8:8" ht="15.75" customHeight="1">
      <c r="H250" s="67"/>
    </row>
    <row r="251" spans="8:8" ht="15.75" customHeight="1">
      <c r="H251" s="67"/>
    </row>
    <row r="252" spans="8:8" ht="15.75" customHeight="1">
      <c r="H252" s="67"/>
    </row>
    <row r="253" spans="8:8" ht="15.75" customHeight="1">
      <c r="H253" s="67"/>
    </row>
    <row r="254" spans="8:8" ht="15.75" customHeight="1">
      <c r="H254" s="67"/>
    </row>
    <row r="255" spans="8:8" ht="15.75" customHeight="1">
      <c r="H255" s="67"/>
    </row>
    <row r="256" spans="8:8" ht="15.75" customHeight="1">
      <c r="H256" s="67"/>
    </row>
    <row r="257" spans="8:8" ht="15.75" customHeight="1">
      <c r="H257" s="67"/>
    </row>
    <row r="258" spans="8:8" ht="15.75" customHeight="1">
      <c r="H258" s="67"/>
    </row>
    <row r="259" spans="8:8" ht="15.75" customHeight="1">
      <c r="H259" s="67"/>
    </row>
    <row r="260" spans="8:8" ht="15.75" customHeight="1">
      <c r="H260" s="67"/>
    </row>
    <row r="261" spans="8:8" ht="15.75" customHeight="1">
      <c r="H261" s="67"/>
    </row>
    <row r="262" spans="8:8" ht="15.75" customHeight="1">
      <c r="H262" s="67"/>
    </row>
    <row r="263" spans="8:8" ht="15.75" customHeight="1">
      <c r="H263" s="67"/>
    </row>
    <row r="264" spans="8:8" ht="15.75" customHeight="1">
      <c r="H264" s="67"/>
    </row>
    <row r="265" spans="8:8" ht="15.75" customHeight="1">
      <c r="H265" s="67"/>
    </row>
    <row r="266" spans="8:8" ht="15.75" customHeight="1">
      <c r="H266" s="67"/>
    </row>
    <row r="267" spans="8:8" ht="15.75" customHeight="1">
      <c r="H267" s="67"/>
    </row>
    <row r="268" spans="8:8" ht="15.75" customHeight="1">
      <c r="H268" s="67"/>
    </row>
    <row r="269" spans="8:8" ht="15.75" customHeight="1">
      <c r="H269" s="67"/>
    </row>
    <row r="270" spans="8:8" ht="15.75" customHeight="1">
      <c r="H270" s="67"/>
    </row>
    <row r="271" spans="8:8" ht="15.75" customHeight="1">
      <c r="H271" s="67"/>
    </row>
    <row r="272" spans="8:8" ht="15.75" customHeight="1">
      <c r="H272" s="67"/>
    </row>
    <row r="273" spans="8:8" ht="15.75" customHeight="1">
      <c r="H273" s="67"/>
    </row>
    <row r="274" spans="8:8" ht="15.75" customHeight="1">
      <c r="H274" s="67"/>
    </row>
    <row r="275" spans="8:8" ht="15.75" customHeight="1">
      <c r="H275" s="67"/>
    </row>
    <row r="276" spans="8:8" ht="15.75" customHeight="1">
      <c r="H276" s="67"/>
    </row>
    <row r="277" spans="8:8" ht="15.75" customHeight="1">
      <c r="H277" s="67"/>
    </row>
    <row r="278" spans="8:8" ht="15.75" customHeight="1">
      <c r="H278" s="67"/>
    </row>
    <row r="279" spans="8:8" ht="15.75" customHeight="1">
      <c r="H279" s="67"/>
    </row>
    <row r="280" spans="8:8" ht="15.75" customHeight="1">
      <c r="H280" s="67"/>
    </row>
    <row r="281" spans="8:8" ht="15.75" customHeight="1">
      <c r="H281" s="67"/>
    </row>
    <row r="282" spans="8:8" ht="15.75" customHeight="1">
      <c r="H282" s="67"/>
    </row>
    <row r="283" spans="8:8" ht="15.75" customHeight="1">
      <c r="H283" s="67"/>
    </row>
    <row r="284" spans="8:8" ht="15.75" customHeight="1">
      <c r="H284" s="67"/>
    </row>
    <row r="285" spans="8:8" ht="15.75" customHeight="1">
      <c r="H285" s="67"/>
    </row>
    <row r="286" spans="8:8" ht="15.75" customHeight="1">
      <c r="H286" s="67"/>
    </row>
    <row r="287" spans="8:8" ht="15.75" customHeight="1">
      <c r="H287" s="67"/>
    </row>
    <row r="288" spans="8:8" ht="15.75" customHeight="1">
      <c r="H288" s="67"/>
    </row>
    <row r="289" spans="8:8" ht="15.75" customHeight="1">
      <c r="H289" s="67"/>
    </row>
    <row r="290" spans="8:8" ht="15.75" customHeight="1">
      <c r="H290" s="67"/>
    </row>
    <row r="291" spans="8:8" ht="15.75" customHeight="1">
      <c r="H291" s="67"/>
    </row>
    <row r="292" spans="8:8" ht="15.75" customHeight="1">
      <c r="H292" s="67"/>
    </row>
    <row r="293" spans="8:8" ht="15.75" customHeight="1">
      <c r="H293" s="67"/>
    </row>
    <row r="294" spans="8:8" ht="15.75" customHeight="1">
      <c r="H294" s="67"/>
    </row>
    <row r="295" spans="8:8" ht="15.75" customHeight="1">
      <c r="H295" s="67"/>
    </row>
    <row r="296" spans="8:8" ht="15.75" customHeight="1">
      <c r="H296" s="67"/>
    </row>
    <row r="297" spans="8:8" ht="15.75" customHeight="1">
      <c r="H297" s="67"/>
    </row>
    <row r="298" spans="8:8" ht="15.75" customHeight="1">
      <c r="H298" s="67"/>
    </row>
    <row r="299" spans="8:8" ht="15.75" customHeight="1">
      <c r="H299" s="67"/>
    </row>
    <row r="300" spans="8:8" ht="15.75" customHeight="1">
      <c r="H300" s="67"/>
    </row>
    <row r="301" spans="8:8" ht="15.75" customHeight="1">
      <c r="H301" s="67"/>
    </row>
    <row r="302" spans="8:8" ht="15.75" customHeight="1">
      <c r="H302" s="67"/>
    </row>
    <row r="303" spans="8:8" ht="15.75" customHeight="1">
      <c r="H303" s="67"/>
    </row>
    <row r="304" spans="8:8" ht="15.75" customHeight="1">
      <c r="H304" s="67"/>
    </row>
    <row r="305" spans="8:8" ht="15.75" customHeight="1">
      <c r="H305" s="67"/>
    </row>
    <row r="306" spans="8:8" ht="15.75" customHeight="1">
      <c r="H306" s="67"/>
    </row>
    <row r="307" spans="8:8" ht="15.75" customHeight="1">
      <c r="H307" s="67"/>
    </row>
    <row r="308" spans="8:8" ht="15.75" customHeight="1">
      <c r="H308" s="67"/>
    </row>
    <row r="309" spans="8:8" ht="15.75" customHeight="1">
      <c r="H309" s="67"/>
    </row>
    <row r="310" spans="8:8" ht="15.75" customHeight="1">
      <c r="H310" s="67"/>
    </row>
    <row r="311" spans="8:8" ht="15.75" customHeight="1">
      <c r="H311" s="67"/>
    </row>
    <row r="312" spans="8:8" ht="15.75" customHeight="1">
      <c r="H312" s="67"/>
    </row>
    <row r="313" spans="8:8" ht="15.75" customHeight="1">
      <c r="H313" s="67"/>
    </row>
    <row r="314" spans="8:8" ht="15.75" customHeight="1">
      <c r="H314" s="67"/>
    </row>
    <row r="315" spans="8:8" ht="15.75" customHeight="1">
      <c r="H315" s="67"/>
    </row>
    <row r="316" spans="8:8" ht="15.75" customHeight="1">
      <c r="H316" s="67"/>
    </row>
    <row r="317" spans="8:8" ht="15.75" customHeight="1">
      <c r="H317" s="67"/>
    </row>
    <row r="318" spans="8:8" ht="15.75" customHeight="1">
      <c r="H318" s="67"/>
    </row>
    <row r="319" spans="8:8" ht="15.75" customHeight="1">
      <c r="H319" s="67"/>
    </row>
    <row r="320" spans="8:8" ht="15.75" customHeight="1">
      <c r="H320" s="67"/>
    </row>
    <row r="321" spans="8:8" ht="15.75" customHeight="1">
      <c r="H321" s="67"/>
    </row>
    <row r="322" spans="8:8" ht="15.75" customHeight="1">
      <c r="H322" s="67"/>
    </row>
    <row r="323" spans="8:8" ht="15.75" customHeight="1">
      <c r="H323" s="67"/>
    </row>
    <row r="324" spans="8:8" ht="15.75" customHeight="1">
      <c r="H324" s="67"/>
    </row>
    <row r="325" spans="8:8" ht="15.75" customHeight="1">
      <c r="H325" s="67"/>
    </row>
    <row r="326" spans="8:8" ht="15.75" customHeight="1">
      <c r="H326" s="67"/>
    </row>
    <row r="327" spans="8:8" ht="15.75" customHeight="1">
      <c r="H327" s="67"/>
    </row>
    <row r="328" spans="8:8" ht="15.75" customHeight="1">
      <c r="H328" s="67"/>
    </row>
    <row r="329" spans="8:8" ht="15.75" customHeight="1">
      <c r="H329" s="67"/>
    </row>
    <row r="330" spans="8:8" ht="15.75" customHeight="1">
      <c r="H330" s="67"/>
    </row>
    <row r="331" spans="8:8" ht="15.75" customHeight="1">
      <c r="H331" s="67"/>
    </row>
    <row r="332" spans="8:8" ht="15.75" customHeight="1">
      <c r="H332" s="67"/>
    </row>
    <row r="333" spans="8:8" ht="15.75" customHeight="1">
      <c r="H333" s="67"/>
    </row>
    <row r="334" spans="8:8" ht="15.75" customHeight="1">
      <c r="H334" s="67"/>
    </row>
    <row r="335" spans="8:8" ht="15.75" customHeight="1">
      <c r="H335" s="67"/>
    </row>
    <row r="336" spans="8:8" ht="15.75" customHeight="1">
      <c r="H336" s="67"/>
    </row>
    <row r="337" spans="8:8" ht="15.75" customHeight="1">
      <c r="H337" s="67"/>
    </row>
    <row r="338" spans="8:8" ht="15.75" customHeight="1">
      <c r="H338" s="67"/>
    </row>
    <row r="339" spans="8:8" ht="15.75" customHeight="1">
      <c r="H339" s="67"/>
    </row>
    <row r="340" spans="8:8" ht="15.75" customHeight="1">
      <c r="H340" s="67"/>
    </row>
    <row r="341" spans="8:8" ht="15.75" customHeight="1">
      <c r="H341" s="67"/>
    </row>
    <row r="342" spans="8:8" ht="15.75" customHeight="1">
      <c r="H342" s="67"/>
    </row>
    <row r="343" spans="8:8" ht="15.75" customHeight="1">
      <c r="H343" s="67"/>
    </row>
    <row r="344" spans="8:8" ht="15.75" customHeight="1">
      <c r="H344" s="67"/>
    </row>
    <row r="345" spans="8:8" ht="15.75" customHeight="1">
      <c r="H345" s="67"/>
    </row>
    <row r="346" spans="8:8" ht="15.75" customHeight="1">
      <c r="H346" s="67"/>
    </row>
    <row r="347" spans="8:8" ht="15.75" customHeight="1">
      <c r="H347" s="67"/>
    </row>
    <row r="348" spans="8:8" ht="15.75" customHeight="1">
      <c r="H348" s="67"/>
    </row>
    <row r="349" spans="8:8" ht="15.75" customHeight="1">
      <c r="H349" s="67"/>
    </row>
    <row r="350" spans="8:8" ht="15.75" customHeight="1">
      <c r="H350" s="67"/>
    </row>
    <row r="351" spans="8:8" ht="15.75" customHeight="1">
      <c r="H351" s="67"/>
    </row>
    <row r="352" spans="8:8" ht="15.75" customHeight="1">
      <c r="H352" s="67"/>
    </row>
    <row r="353" spans="8:8" ht="15.75" customHeight="1">
      <c r="H353" s="67"/>
    </row>
    <row r="354" spans="8:8" ht="15.75" customHeight="1">
      <c r="H354" s="67"/>
    </row>
    <row r="355" spans="8:8" ht="15.75" customHeight="1">
      <c r="H355" s="67"/>
    </row>
    <row r="356" spans="8:8" ht="15.75" customHeight="1">
      <c r="H356" s="67"/>
    </row>
    <row r="357" spans="8:8" ht="15.75" customHeight="1">
      <c r="H357" s="67"/>
    </row>
    <row r="358" spans="8:8" ht="15.75" customHeight="1">
      <c r="H358" s="67"/>
    </row>
    <row r="359" spans="8:8" ht="15.75" customHeight="1">
      <c r="H359" s="67"/>
    </row>
    <row r="360" spans="8:8" ht="15.75" customHeight="1">
      <c r="H360" s="67"/>
    </row>
    <row r="361" spans="8:8" ht="15.75" customHeight="1">
      <c r="H361" s="67"/>
    </row>
    <row r="362" spans="8:8" ht="15.75" customHeight="1">
      <c r="H362" s="67"/>
    </row>
    <row r="363" spans="8:8" ht="15.75" customHeight="1">
      <c r="H363" s="67"/>
    </row>
    <row r="364" spans="8:8" ht="15.75" customHeight="1">
      <c r="H364" s="67"/>
    </row>
    <row r="365" spans="8:8" ht="15.75" customHeight="1">
      <c r="H365" s="67"/>
    </row>
    <row r="366" spans="8:8" ht="15.75" customHeight="1">
      <c r="H366" s="67"/>
    </row>
    <row r="367" spans="8:8" ht="15.75" customHeight="1">
      <c r="H367" s="67"/>
    </row>
    <row r="368" spans="8:8" ht="15.75" customHeight="1">
      <c r="H368" s="67"/>
    </row>
    <row r="369" spans="8:8" ht="15.75" customHeight="1">
      <c r="H369" s="67"/>
    </row>
    <row r="370" spans="8:8" ht="15.75" customHeight="1">
      <c r="H370" s="67"/>
    </row>
    <row r="371" spans="8:8" ht="15.75" customHeight="1">
      <c r="H371" s="67"/>
    </row>
    <row r="372" spans="8:8" ht="15.75" customHeight="1">
      <c r="H372" s="67"/>
    </row>
    <row r="373" spans="8:8" ht="15.75" customHeight="1">
      <c r="H373" s="67"/>
    </row>
    <row r="374" spans="8:8" ht="15.75" customHeight="1">
      <c r="H374" s="67"/>
    </row>
    <row r="375" spans="8:8" ht="15.75" customHeight="1">
      <c r="H375" s="67"/>
    </row>
    <row r="376" spans="8:8" ht="15.75" customHeight="1">
      <c r="H376" s="67"/>
    </row>
    <row r="377" spans="8:8" ht="15.75" customHeight="1">
      <c r="H377" s="67"/>
    </row>
    <row r="378" spans="8:8" ht="15.75" customHeight="1">
      <c r="H378" s="67"/>
    </row>
    <row r="379" spans="8:8" ht="15.75" customHeight="1">
      <c r="H379" s="67"/>
    </row>
    <row r="380" spans="8:8" ht="15.75" customHeight="1">
      <c r="H380" s="67"/>
    </row>
    <row r="381" spans="8:8" ht="15.75" customHeight="1">
      <c r="H381" s="67"/>
    </row>
    <row r="382" spans="8:8" ht="15.75" customHeight="1">
      <c r="H382" s="67"/>
    </row>
    <row r="383" spans="8:8" ht="15.75" customHeight="1">
      <c r="H383" s="67"/>
    </row>
    <row r="384" spans="8:8" ht="15.75" customHeight="1">
      <c r="H384" s="67"/>
    </row>
    <row r="385" spans="8:8" ht="15.75" customHeight="1">
      <c r="H385" s="67"/>
    </row>
    <row r="386" spans="8:8" ht="15.75" customHeight="1">
      <c r="H386" s="67"/>
    </row>
    <row r="387" spans="8:8" ht="15.75" customHeight="1">
      <c r="H387" s="67"/>
    </row>
    <row r="388" spans="8:8" ht="15.75" customHeight="1">
      <c r="H388" s="67"/>
    </row>
    <row r="389" spans="8:8" ht="15.75" customHeight="1">
      <c r="H389" s="67"/>
    </row>
    <row r="390" spans="8:8" ht="15.75" customHeight="1">
      <c r="H390" s="67"/>
    </row>
    <row r="391" spans="8:8" ht="15.75" customHeight="1">
      <c r="H391" s="67"/>
    </row>
    <row r="392" spans="8:8" ht="15.75" customHeight="1">
      <c r="H392" s="67"/>
    </row>
    <row r="393" spans="8:8" ht="15.75" customHeight="1">
      <c r="H393" s="67"/>
    </row>
    <row r="394" spans="8:8" ht="15.75" customHeight="1">
      <c r="H394" s="67"/>
    </row>
    <row r="395" spans="8:8" ht="15.75" customHeight="1">
      <c r="H395" s="67"/>
    </row>
    <row r="396" spans="8:8" ht="15.75" customHeight="1">
      <c r="H396" s="67"/>
    </row>
    <row r="397" spans="8:8" ht="15.75" customHeight="1">
      <c r="H397" s="67"/>
    </row>
    <row r="398" spans="8:8" ht="15.75" customHeight="1">
      <c r="H398" s="67"/>
    </row>
    <row r="399" spans="8:8" ht="15.75" customHeight="1">
      <c r="H399" s="67"/>
    </row>
    <row r="400" spans="8:8" ht="15.75" customHeight="1">
      <c r="H400" s="67"/>
    </row>
    <row r="401" spans="8:8" ht="15.75" customHeight="1">
      <c r="H401" s="67"/>
    </row>
    <row r="402" spans="8:8" ht="15.75" customHeight="1">
      <c r="H402" s="67"/>
    </row>
    <row r="403" spans="8:8" ht="15.75" customHeight="1">
      <c r="H403" s="67"/>
    </row>
    <row r="404" spans="8:8" ht="15.75" customHeight="1">
      <c r="H404" s="67"/>
    </row>
    <row r="405" spans="8:8" ht="15.75" customHeight="1">
      <c r="H405" s="67"/>
    </row>
    <row r="406" spans="8:8" ht="15.75" customHeight="1">
      <c r="H406" s="67"/>
    </row>
    <row r="407" spans="8:8" ht="15.75" customHeight="1">
      <c r="H407" s="67"/>
    </row>
    <row r="408" spans="8:8" ht="15.75" customHeight="1">
      <c r="H408" s="67"/>
    </row>
    <row r="409" spans="8:8" ht="15.75" customHeight="1">
      <c r="H409" s="67"/>
    </row>
    <row r="410" spans="8:8" ht="15.75" customHeight="1">
      <c r="H410" s="67"/>
    </row>
    <row r="411" spans="8:8" ht="15.75" customHeight="1">
      <c r="H411" s="67"/>
    </row>
    <row r="412" spans="8:8" ht="15.75" customHeight="1">
      <c r="H412" s="67"/>
    </row>
    <row r="413" spans="8:8" ht="15.75" customHeight="1">
      <c r="H413" s="67"/>
    </row>
    <row r="414" spans="8:8" ht="15.75" customHeight="1">
      <c r="H414" s="67"/>
    </row>
    <row r="415" spans="8:8" ht="15.75" customHeight="1">
      <c r="H415" s="67"/>
    </row>
    <row r="416" spans="8:8" ht="15.75" customHeight="1">
      <c r="H416" s="67"/>
    </row>
    <row r="417" spans="8:8" ht="15.75" customHeight="1">
      <c r="H417" s="67"/>
    </row>
    <row r="418" spans="8:8" ht="15.75" customHeight="1">
      <c r="H418" s="67"/>
    </row>
    <row r="419" spans="8:8" ht="15.75" customHeight="1">
      <c r="H419" s="67"/>
    </row>
    <row r="420" spans="8:8" ht="15.75" customHeight="1">
      <c r="H420" s="67"/>
    </row>
    <row r="421" spans="8:8" ht="15.75" customHeight="1">
      <c r="H421" s="67"/>
    </row>
    <row r="422" spans="8:8" ht="15.75" customHeight="1">
      <c r="H422" s="67"/>
    </row>
    <row r="423" spans="8:8" ht="15.75" customHeight="1">
      <c r="H423" s="67"/>
    </row>
    <row r="424" spans="8:8" ht="15.75" customHeight="1">
      <c r="H424" s="67"/>
    </row>
    <row r="425" spans="8:8" ht="15.75" customHeight="1">
      <c r="H425" s="67"/>
    </row>
    <row r="426" spans="8:8" ht="15.75" customHeight="1">
      <c r="H426" s="67"/>
    </row>
    <row r="427" spans="8:8" ht="15.75" customHeight="1">
      <c r="H427" s="67"/>
    </row>
    <row r="428" spans="8:8" ht="15.75" customHeight="1">
      <c r="H428" s="67"/>
    </row>
    <row r="429" spans="8:8" ht="15.75" customHeight="1">
      <c r="H429" s="67"/>
    </row>
    <row r="430" spans="8:8" ht="15.75" customHeight="1">
      <c r="H430" s="67"/>
    </row>
    <row r="431" spans="8:8" ht="15.75" customHeight="1">
      <c r="H431" s="67"/>
    </row>
    <row r="432" spans="8:8" ht="15.75" customHeight="1">
      <c r="H432" s="67"/>
    </row>
    <row r="433" spans="8:8" ht="15.75" customHeight="1">
      <c r="H433" s="67"/>
    </row>
    <row r="434" spans="8:8" ht="15.75" customHeight="1">
      <c r="H434" s="67"/>
    </row>
    <row r="435" spans="8:8" ht="15.75" customHeight="1">
      <c r="H435" s="67"/>
    </row>
    <row r="436" spans="8:8" ht="15.75" customHeight="1">
      <c r="H436" s="67"/>
    </row>
    <row r="437" spans="8:8" ht="15.75" customHeight="1">
      <c r="H437" s="67"/>
    </row>
    <row r="438" spans="8:8" ht="15.75" customHeight="1">
      <c r="H438" s="67"/>
    </row>
    <row r="439" spans="8:8" ht="15.75" customHeight="1">
      <c r="H439" s="67"/>
    </row>
    <row r="440" spans="8:8" ht="15.75" customHeight="1">
      <c r="H440" s="67"/>
    </row>
    <row r="441" spans="8:8" ht="15.75" customHeight="1">
      <c r="H441" s="67"/>
    </row>
    <row r="442" spans="8:8" ht="15.75" customHeight="1">
      <c r="H442" s="67"/>
    </row>
    <row r="443" spans="8:8" ht="15.75" customHeight="1">
      <c r="H443" s="67"/>
    </row>
    <row r="444" spans="8:8" ht="15.75" customHeight="1">
      <c r="H444" s="67"/>
    </row>
    <row r="445" spans="8:8" ht="15.75" customHeight="1">
      <c r="H445" s="67"/>
    </row>
    <row r="446" spans="8:8" ht="15.75" customHeight="1">
      <c r="H446" s="67"/>
    </row>
    <row r="447" spans="8:8" ht="15.75" customHeight="1">
      <c r="H447" s="67"/>
    </row>
    <row r="448" spans="8:8" ht="15.75" customHeight="1">
      <c r="H448" s="67"/>
    </row>
    <row r="449" spans="8:8" ht="15.75" customHeight="1">
      <c r="H449" s="67"/>
    </row>
    <row r="450" spans="8:8" ht="15.75" customHeight="1">
      <c r="H450" s="67"/>
    </row>
    <row r="451" spans="8:8" ht="15.75" customHeight="1">
      <c r="H451" s="67"/>
    </row>
    <row r="452" spans="8:8" ht="15.75" customHeight="1">
      <c r="H452" s="67"/>
    </row>
    <row r="453" spans="8:8" ht="15.75" customHeight="1">
      <c r="H453" s="67"/>
    </row>
    <row r="454" spans="8:8" ht="15.75" customHeight="1">
      <c r="H454" s="67"/>
    </row>
    <row r="455" spans="8:8" ht="15.75" customHeight="1">
      <c r="H455" s="67"/>
    </row>
    <row r="456" spans="8:8" ht="15.75" customHeight="1">
      <c r="H456" s="67"/>
    </row>
    <row r="457" spans="8:8" ht="15.75" customHeight="1">
      <c r="H457" s="67"/>
    </row>
    <row r="458" spans="8:8" ht="15.75" customHeight="1">
      <c r="H458" s="67"/>
    </row>
    <row r="459" spans="8:8" ht="15.75" customHeight="1">
      <c r="H459" s="67"/>
    </row>
    <row r="460" spans="8:8" ht="15.75" customHeight="1">
      <c r="H460" s="67"/>
    </row>
    <row r="461" spans="8:8" ht="15.75" customHeight="1">
      <c r="H461" s="67"/>
    </row>
    <row r="462" spans="8:8" ht="15.75" customHeight="1">
      <c r="H462" s="67"/>
    </row>
    <row r="463" spans="8:8" ht="15.75" customHeight="1">
      <c r="H463" s="67"/>
    </row>
    <row r="464" spans="8:8" ht="15.75" customHeight="1">
      <c r="H464" s="67"/>
    </row>
    <row r="465" spans="8:8" ht="15.75" customHeight="1">
      <c r="H465" s="67"/>
    </row>
    <row r="466" spans="8:8" ht="15.75" customHeight="1">
      <c r="H466" s="67"/>
    </row>
    <row r="467" spans="8:8" ht="15.75" customHeight="1">
      <c r="H467" s="67"/>
    </row>
    <row r="468" spans="8:8" ht="15.75" customHeight="1">
      <c r="H468" s="67"/>
    </row>
    <row r="469" spans="8:8" ht="15.75" customHeight="1">
      <c r="H469" s="67"/>
    </row>
    <row r="470" spans="8:8" ht="15.75" customHeight="1">
      <c r="H470" s="67"/>
    </row>
    <row r="471" spans="8:8" ht="15.75" customHeight="1">
      <c r="H471" s="67"/>
    </row>
    <row r="472" spans="8:8" ht="15.75" customHeight="1">
      <c r="H472" s="67"/>
    </row>
    <row r="473" spans="8:8" ht="15.75" customHeight="1">
      <c r="H473" s="67"/>
    </row>
    <row r="474" spans="8:8" ht="15.75" customHeight="1">
      <c r="H474" s="67"/>
    </row>
    <row r="475" spans="8:8" ht="15.75" customHeight="1">
      <c r="H475" s="67"/>
    </row>
    <row r="476" spans="8:8" ht="15.75" customHeight="1">
      <c r="H476" s="67"/>
    </row>
    <row r="477" spans="8:8" ht="15.75" customHeight="1">
      <c r="H477" s="67"/>
    </row>
    <row r="478" spans="8:8" ht="15.75" customHeight="1">
      <c r="H478" s="67"/>
    </row>
    <row r="479" spans="8:8" ht="15.75" customHeight="1">
      <c r="H479" s="67"/>
    </row>
    <row r="480" spans="8:8" ht="15.75" customHeight="1">
      <c r="H480" s="67"/>
    </row>
    <row r="481" spans="8:8" ht="15.75" customHeight="1">
      <c r="H481" s="67"/>
    </row>
    <row r="482" spans="8:8" ht="15.75" customHeight="1">
      <c r="H482" s="67"/>
    </row>
    <row r="483" spans="8:8" ht="15.75" customHeight="1">
      <c r="H483" s="67"/>
    </row>
    <row r="484" spans="8:8" ht="15.75" customHeight="1">
      <c r="H484" s="67"/>
    </row>
    <row r="485" spans="8:8" ht="15.75" customHeight="1">
      <c r="H485" s="67"/>
    </row>
    <row r="486" spans="8:8" ht="15.75" customHeight="1">
      <c r="H486" s="67"/>
    </row>
    <row r="487" spans="8:8" ht="15.75" customHeight="1">
      <c r="H487" s="67"/>
    </row>
    <row r="488" spans="8:8" ht="15.75" customHeight="1">
      <c r="H488" s="67"/>
    </row>
    <row r="489" spans="8:8" ht="15.75" customHeight="1">
      <c r="H489" s="67"/>
    </row>
    <row r="490" spans="8:8" ht="15.75" customHeight="1">
      <c r="H490" s="67"/>
    </row>
    <row r="491" spans="8:8" ht="15.75" customHeight="1">
      <c r="H491" s="67"/>
    </row>
    <row r="492" spans="8:8" ht="15.75" customHeight="1">
      <c r="H492" s="67"/>
    </row>
    <row r="493" spans="8:8" ht="15.75" customHeight="1">
      <c r="H493" s="67"/>
    </row>
    <row r="494" spans="8:8" ht="15.75" customHeight="1">
      <c r="H494" s="67"/>
    </row>
    <row r="495" spans="8:8" ht="15.75" customHeight="1">
      <c r="H495" s="67"/>
    </row>
    <row r="496" spans="8:8" ht="15.75" customHeight="1">
      <c r="H496" s="67"/>
    </row>
    <row r="497" spans="8:8" ht="15.75" customHeight="1">
      <c r="H497" s="67"/>
    </row>
    <row r="498" spans="8:8" ht="15.75" customHeight="1">
      <c r="H498" s="67"/>
    </row>
    <row r="499" spans="8:8" ht="15.75" customHeight="1">
      <c r="H499" s="67"/>
    </row>
    <row r="500" spans="8:8" ht="15.75" customHeight="1">
      <c r="H500" s="67"/>
    </row>
    <row r="501" spans="8:8" ht="15.75" customHeight="1">
      <c r="H501" s="67"/>
    </row>
    <row r="502" spans="8:8" ht="15.75" customHeight="1">
      <c r="H502" s="67"/>
    </row>
    <row r="503" spans="8:8" ht="15.75" customHeight="1">
      <c r="H503" s="67"/>
    </row>
    <row r="504" spans="8:8" ht="15.75" customHeight="1">
      <c r="H504" s="67"/>
    </row>
    <row r="505" spans="8:8" ht="15.75" customHeight="1">
      <c r="H505" s="67"/>
    </row>
    <row r="506" spans="8:8" ht="15.75" customHeight="1">
      <c r="H506" s="67"/>
    </row>
    <row r="507" spans="8:8" ht="15.75" customHeight="1">
      <c r="H507" s="67"/>
    </row>
    <row r="508" spans="8:8" ht="15.75" customHeight="1">
      <c r="H508" s="67"/>
    </row>
    <row r="509" spans="8:8" ht="15.75" customHeight="1">
      <c r="H509" s="67"/>
    </row>
    <row r="510" spans="8:8" ht="15.75" customHeight="1">
      <c r="H510" s="67"/>
    </row>
    <row r="511" spans="8:8" ht="15.75" customHeight="1">
      <c r="H511" s="67"/>
    </row>
    <row r="512" spans="8:8" ht="15.75" customHeight="1">
      <c r="H512" s="67"/>
    </row>
    <row r="513" spans="8:8" ht="15.75" customHeight="1">
      <c r="H513" s="67"/>
    </row>
    <row r="514" spans="8:8" ht="15.75" customHeight="1">
      <c r="H514" s="67"/>
    </row>
    <row r="515" spans="8:8" ht="15.75" customHeight="1">
      <c r="H515" s="67"/>
    </row>
    <row r="516" spans="8:8" ht="15.75" customHeight="1">
      <c r="H516" s="67"/>
    </row>
    <row r="517" spans="8:8" ht="15.75" customHeight="1">
      <c r="H517" s="67"/>
    </row>
    <row r="518" spans="8:8" ht="15.75" customHeight="1">
      <c r="H518" s="67"/>
    </row>
    <row r="519" spans="8:8" ht="15.75" customHeight="1">
      <c r="H519" s="67"/>
    </row>
    <row r="520" spans="8:8" ht="15.75" customHeight="1">
      <c r="H520" s="67"/>
    </row>
    <row r="521" spans="8:8" ht="15.75" customHeight="1">
      <c r="H521" s="67"/>
    </row>
    <row r="522" spans="8:8" ht="15.75" customHeight="1">
      <c r="H522" s="67"/>
    </row>
    <row r="523" spans="8:8" ht="15.75" customHeight="1">
      <c r="H523" s="67"/>
    </row>
    <row r="524" spans="8:8" ht="15.75" customHeight="1">
      <c r="H524" s="67"/>
    </row>
    <row r="525" spans="8:8" ht="15.75" customHeight="1">
      <c r="H525" s="67"/>
    </row>
    <row r="526" spans="8:8" ht="15.75" customHeight="1">
      <c r="H526" s="67"/>
    </row>
    <row r="527" spans="8:8" ht="15.75" customHeight="1">
      <c r="H527" s="67"/>
    </row>
    <row r="528" spans="8:8" ht="15.75" customHeight="1">
      <c r="H528" s="67"/>
    </row>
    <row r="529" spans="8:8" ht="15.75" customHeight="1">
      <c r="H529" s="67"/>
    </row>
    <row r="530" spans="8:8" ht="15.75" customHeight="1">
      <c r="H530" s="67"/>
    </row>
    <row r="531" spans="8:8" ht="15.75" customHeight="1">
      <c r="H531" s="67"/>
    </row>
    <row r="532" spans="8:8" ht="15.75" customHeight="1">
      <c r="H532" s="67"/>
    </row>
    <row r="533" spans="8:8" ht="15.75" customHeight="1">
      <c r="H533" s="67"/>
    </row>
    <row r="534" spans="8:8" ht="15.75" customHeight="1">
      <c r="H534" s="67"/>
    </row>
    <row r="535" spans="8:8" ht="15.75" customHeight="1">
      <c r="H535" s="67"/>
    </row>
    <row r="536" spans="8:8" ht="15.75" customHeight="1">
      <c r="H536" s="67"/>
    </row>
    <row r="537" spans="8:8" ht="15.75" customHeight="1">
      <c r="H537" s="67"/>
    </row>
    <row r="538" spans="8:8" ht="15.75" customHeight="1">
      <c r="H538" s="67"/>
    </row>
    <row r="539" spans="8:8" ht="15.75" customHeight="1">
      <c r="H539" s="67"/>
    </row>
    <row r="540" spans="8:8" ht="15.75" customHeight="1">
      <c r="H540" s="67"/>
    </row>
    <row r="541" spans="8:8" ht="15.75" customHeight="1">
      <c r="H541" s="67"/>
    </row>
    <row r="542" spans="8:8" ht="15.75" customHeight="1">
      <c r="H542" s="67"/>
    </row>
    <row r="543" spans="8:8" ht="15.75" customHeight="1">
      <c r="H543" s="67"/>
    </row>
    <row r="544" spans="8:8" ht="15.75" customHeight="1">
      <c r="H544" s="67"/>
    </row>
    <row r="545" spans="8:8" ht="15.75" customHeight="1">
      <c r="H545" s="67"/>
    </row>
    <row r="546" spans="8:8" ht="15.75" customHeight="1">
      <c r="H546" s="67"/>
    </row>
    <row r="547" spans="8:8" ht="15.75" customHeight="1">
      <c r="H547" s="67"/>
    </row>
    <row r="548" spans="8:8" ht="15.75" customHeight="1">
      <c r="H548" s="67"/>
    </row>
    <row r="549" spans="8:8" ht="15.75" customHeight="1">
      <c r="H549" s="67"/>
    </row>
    <row r="550" spans="8:8" ht="15.75" customHeight="1">
      <c r="H550" s="67"/>
    </row>
    <row r="551" spans="8:8" ht="15.75" customHeight="1">
      <c r="H551" s="67"/>
    </row>
    <row r="552" spans="8:8" ht="15.75" customHeight="1">
      <c r="H552" s="67"/>
    </row>
    <row r="553" spans="8:8" ht="15.75" customHeight="1">
      <c r="H553" s="67"/>
    </row>
    <row r="554" spans="8:8" ht="15.75" customHeight="1">
      <c r="H554" s="67"/>
    </row>
    <row r="555" spans="8:8" ht="15.75" customHeight="1">
      <c r="H555" s="67"/>
    </row>
    <row r="556" spans="8:8" ht="15.75" customHeight="1">
      <c r="H556" s="67"/>
    </row>
    <row r="557" spans="8:8" ht="15.75" customHeight="1">
      <c r="H557" s="67"/>
    </row>
    <row r="558" spans="8:8" ht="15.75" customHeight="1">
      <c r="H558" s="67"/>
    </row>
    <row r="559" spans="8:8" ht="15.75" customHeight="1">
      <c r="H559" s="67"/>
    </row>
    <row r="560" spans="8:8" ht="15.75" customHeight="1">
      <c r="H560" s="67"/>
    </row>
    <row r="561" spans="8:8" ht="15.75" customHeight="1">
      <c r="H561" s="67"/>
    </row>
    <row r="562" spans="8:8" ht="15.75" customHeight="1">
      <c r="H562" s="67"/>
    </row>
    <row r="563" spans="8:8" ht="15.75" customHeight="1">
      <c r="H563" s="67"/>
    </row>
    <row r="564" spans="8:8" ht="15.75" customHeight="1">
      <c r="H564" s="67"/>
    </row>
    <row r="565" spans="8:8" ht="15.75" customHeight="1">
      <c r="H565" s="67"/>
    </row>
    <row r="566" spans="8:8" ht="15.75" customHeight="1">
      <c r="H566" s="67"/>
    </row>
    <row r="567" spans="8:8" ht="15.75" customHeight="1">
      <c r="H567" s="67"/>
    </row>
    <row r="568" spans="8:8" ht="15.75" customHeight="1">
      <c r="H568" s="67"/>
    </row>
    <row r="569" spans="8:8" ht="15.75" customHeight="1">
      <c r="H569" s="67"/>
    </row>
    <row r="570" spans="8:8" ht="15.75" customHeight="1">
      <c r="H570" s="67"/>
    </row>
    <row r="571" spans="8:8" ht="15.75" customHeight="1">
      <c r="H571" s="67"/>
    </row>
    <row r="572" spans="8:8" ht="15.75" customHeight="1">
      <c r="H572" s="67"/>
    </row>
    <row r="573" spans="8:8" ht="15.75" customHeight="1">
      <c r="H573" s="67"/>
    </row>
    <row r="574" spans="8:8" ht="15.75" customHeight="1">
      <c r="H574" s="67"/>
    </row>
    <row r="575" spans="8:8" ht="15.75" customHeight="1">
      <c r="H575" s="67"/>
    </row>
    <row r="576" spans="8:8" ht="15.75" customHeight="1">
      <c r="H576" s="67"/>
    </row>
    <row r="577" spans="8:8" ht="15.75" customHeight="1">
      <c r="H577" s="67"/>
    </row>
    <row r="578" spans="8:8" ht="15.75" customHeight="1">
      <c r="H578" s="67"/>
    </row>
    <row r="579" spans="8:8" ht="15.75" customHeight="1">
      <c r="H579" s="67"/>
    </row>
    <row r="580" spans="8:8" ht="15.75" customHeight="1">
      <c r="H580" s="67"/>
    </row>
    <row r="581" spans="8:8" ht="15.75" customHeight="1">
      <c r="H581" s="67"/>
    </row>
    <row r="582" spans="8:8" ht="15.75" customHeight="1">
      <c r="H582" s="67"/>
    </row>
    <row r="583" spans="8:8" ht="15.75" customHeight="1">
      <c r="H583" s="67"/>
    </row>
    <row r="584" spans="8:8" ht="15.75" customHeight="1">
      <c r="H584" s="67"/>
    </row>
    <row r="585" spans="8:8" ht="15.75" customHeight="1">
      <c r="H585" s="67"/>
    </row>
    <row r="586" spans="8:8" ht="15.75" customHeight="1">
      <c r="H586" s="67"/>
    </row>
    <row r="587" spans="8:8" ht="15.75" customHeight="1">
      <c r="H587" s="67"/>
    </row>
    <row r="588" spans="8:8" ht="15.75" customHeight="1">
      <c r="H588" s="67"/>
    </row>
    <row r="589" spans="8:8" ht="15.75" customHeight="1">
      <c r="H589" s="67"/>
    </row>
    <row r="590" spans="8:8" ht="15.75" customHeight="1">
      <c r="H590" s="67"/>
    </row>
    <row r="591" spans="8:8" ht="15.75" customHeight="1">
      <c r="H591" s="67"/>
    </row>
    <row r="592" spans="8:8" ht="15.75" customHeight="1">
      <c r="H592" s="67"/>
    </row>
    <row r="593" spans="8:8" ht="15.75" customHeight="1">
      <c r="H593" s="67"/>
    </row>
    <row r="594" spans="8:8" ht="15.75" customHeight="1">
      <c r="H594" s="67"/>
    </row>
    <row r="595" spans="8:8" ht="15.75" customHeight="1">
      <c r="H595" s="67"/>
    </row>
    <row r="596" spans="8:8" ht="15.75" customHeight="1">
      <c r="H596" s="67"/>
    </row>
    <row r="597" spans="8:8" ht="15.75" customHeight="1">
      <c r="H597" s="67"/>
    </row>
    <row r="598" spans="8:8" ht="15.75" customHeight="1">
      <c r="H598" s="67"/>
    </row>
    <row r="599" spans="8:8" ht="15.75" customHeight="1">
      <c r="H599" s="67"/>
    </row>
    <row r="600" spans="8:8" ht="15.75" customHeight="1">
      <c r="H600" s="67"/>
    </row>
    <row r="601" spans="8:8" ht="15.75" customHeight="1">
      <c r="H601" s="67"/>
    </row>
    <row r="602" spans="8:8" ht="15.75" customHeight="1">
      <c r="H602" s="67"/>
    </row>
    <row r="603" spans="8:8" ht="15.75" customHeight="1">
      <c r="H603" s="67"/>
    </row>
    <row r="604" spans="8:8" ht="15.75" customHeight="1">
      <c r="H604" s="67"/>
    </row>
    <row r="605" spans="8:8" ht="15.75" customHeight="1">
      <c r="H605" s="67"/>
    </row>
    <row r="606" spans="8:8" ht="15.75" customHeight="1">
      <c r="H606" s="67"/>
    </row>
    <row r="607" spans="8:8" ht="15.75" customHeight="1">
      <c r="H607" s="67"/>
    </row>
    <row r="608" spans="8:8" ht="15.75" customHeight="1">
      <c r="H608" s="67"/>
    </row>
    <row r="609" spans="8:8" ht="15.75" customHeight="1">
      <c r="H609" s="67"/>
    </row>
    <row r="610" spans="8:8" ht="15.75" customHeight="1">
      <c r="H610" s="67"/>
    </row>
    <row r="611" spans="8:8" ht="15.75" customHeight="1">
      <c r="H611" s="67"/>
    </row>
    <row r="612" spans="8:8" ht="15.75" customHeight="1">
      <c r="H612" s="67"/>
    </row>
    <row r="613" spans="8:8" ht="15.75" customHeight="1">
      <c r="H613" s="67"/>
    </row>
    <row r="614" spans="8:8" ht="15.75" customHeight="1">
      <c r="H614" s="67"/>
    </row>
    <row r="615" spans="8:8" ht="15.75" customHeight="1">
      <c r="H615" s="67"/>
    </row>
    <row r="616" spans="8:8" ht="15.75" customHeight="1">
      <c r="H616" s="67"/>
    </row>
    <row r="617" spans="8:8" ht="15.75" customHeight="1">
      <c r="H617" s="67"/>
    </row>
    <row r="618" spans="8:8" ht="15.75" customHeight="1">
      <c r="H618" s="67"/>
    </row>
    <row r="619" spans="8:8" ht="15.75" customHeight="1">
      <c r="H619" s="67"/>
    </row>
    <row r="620" spans="8:8" ht="15.75" customHeight="1">
      <c r="H620" s="67"/>
    </row>
    <row r="621" spans="8:8" ht="15.75" customHeight="1">
      <c r="H621" s="67"/>
    </row>
    <row r="622" spans="8:8" ht="15.75" customHeight="1">
      <c r="H622" s="67"/>
    </row>
    <row r="623" spans="8:8" ht="15.75" customHeight="1">
      <c r="H623" s="67"/>
    </row>
    <row r="624" spans="8:8" ht="15.75" customHeight="1">
      <c r="H624" s="67"/>
    </row>
    <row r="625" spans="8:8" ht="15.75" customHeight="1">
      <c r="H625" s="67"/>
    </row>
    <row r="626" spans="8:8" ht="15.75" customHeight="1">
      <c r="H626" s="67"/>
    </row>
    <row r="627" spans="8:8" ht="15.75" customHeight="1">
      <c r="H627" s="67"/>
    </row>
    <row r="628" spans="8:8" ht="15.75" customHeight="1">
      <c r="H628" s="67"/>
    </row>
    <row r="629" spans="8:8" ht="15.75" customHeight="1">
      <c r="H629" s="67"/>
    </row>
    <row r="630" spans="8:8" ht="15.75" customHeight="1">
      <c r="H630" s="67"/>
    </row>
    <row r="631" spans="8:8" ht="15.75" customHeight="1">
      <c r="H631" s="67"/>
    </row>
    <row r="632" spans="8:8" ht="15.75" customHeight="1">
      <c r="H632" s="67"/>
    </row>
    <row r="633" spans="8:8" ht="15.75" customHeight="1">
      <c r="H633" s="67"/>
    </row>
    <row r="634" spans="8:8" ht="15.75" customHeight="1">
      <c r="H634" s="67"/>
    </row>
    <row r="635" spans="8:8" ht="15.75" customHeight="1">
      <c r="H635" s="67"/>
    </row>
    <row r="636" spans="8:8" ht="15.75" customHeight="1">
      <c r="H636" s="67"/>
    </row>
    <row r="637" spans="8:8" ht="15.75" customHeight="1">
      <c r="H637" s="67"/>
    </row>
    <row r="638" spans="8:8" ht="15.75" customHeight="1">
      <c r="H638" s="67"/>
    </row>
    <row r="639" spans="8:8" ht="15.75" customHeight="1">
      <c r="H639" s="67"/>
    </row>
    <row r="640" spans="8:8" ht="15.75" customHeight="1">
      <c r="H640" s="67"/>
    </row>
    <row r="641" spans="8:8" ht="15.75" customHeight="1">
      <c r="H641" s="67"/>
    </row>
    <row r="642" spans="8:8" ht="15.75" customHeight="1">
      <c r="H642" s="67"/>
    </row>
    <row r="643" spans="8:8" ht="15.75" customHeight="1">
      <c r="H643" s="67"/>
    </row>
    <row r="644" spans="8:8" ht="15.75" customHeight="1">
      <c r="H644" s="67"/>
    </row>
    <row r="645" spans="8:8" ht="15.75" customHeight="1">
      <c r="H645" s="67"/>
    </row>
    <row r="646" spans="8:8" ht="15.75" customHeight="1">
      <c r="H646" s="67"/>
    </row>
    <row r="647" spans="8:8" ht="15.75" customHeight="1">
      <c r="H647" s="67"/>
    </row>
    <row r="648" spans="8:8" ht="15.75" customHeight="1">
      <c r="H648" s="67"/>
    </row>
    <row r="649" spans="8:8" ht="15.75" customHeight="1">
      <c r="H649" s="67"/>
    </row>
    <row r="650" spans="8:8" ht="15.75" customHeight="1">
      <c r="H650" s="67"/>
    </row>
    <row r="651" spans="8:8" ht="15.75" customHeight="1">
      <c r="H651" s="67"/>
    </row>
    <row r="652" spans="8:8" ht="15.75" customHeight="1">
      <c r="H652" s="67"/>
    </row>
    <row r="653" spans="8:8" ht="15.75" customHeight="1">
      <c r="H653" s="67"/>
    </row>
    <row r="654" spans="8:8" ht="15.75" customHeight="1">
      <c r="H654" s="67"/>
    </row>
    <row r="655" spans="8:8" ht="15.75" customHeight="1">
      <c r="H655" s="67"/>
    </row>
    <row r="656" spans="8:8" ht="15.75" customHeight="1">
      <c r="H656" s="67"/>
    </row>
    <row r="657" spans="8:8" ht="15.75" customHeight="1">
      <c r="H657" s="67"/>
    </row>
    <row r="658" spans="8:8" ht="15.75" customHeight="1">
      <c r="H658" s="67"/>
    </row>
    <row r="659" spans="8:8" ht="15.75" customHeight="1">
      <c r="H659" s="67"/>
    </row>
    <row r="660" spans="8:8" ht="15.75" customHeight="1">
      <c r="H660" s="67"/>
    </row>
    <row r="661" spans="8:8" ht="15.75" customHeight="1">
      <c r="H661" s="67"/>
    </row>
    <row r="662" spans="8:8" ht="15.75" customHeight="1">
      <c r="H662" s="67"/>
    </row>
    <row r="663" spans="8:8" ht="15.75" customHeight="1">
      <c r="H663" s="67"/>
    </row>
    <row r="664" spans="8:8" ht="15.75" customHeight="1">
      <c r="H664" s="67"/>
    </row>
    <row r="665" spans="8:8" ht="15.75" customHeight="1">
      <c r="H665" s="67"/>
    </row>
    <row r="666" spans="8:8" ht="15.75" customHeight="1">
      <c r="H666" s="67"/>
    </row>
    <row r="667" spans="8:8" ht="15.75" customHeight="1">
      <c r="H667" s="67"/>
    </row>
    <row r="668" spans="8:8" ht="15.75" customHeight="1">
      <c r="H668" s="67"/>
    </row>
    <row r="669" spans="8:8" ht="15.75" customHeight="1">
      <c r="H669" s="67"/>
    </row>
    <row r="670" spans="8:8" ht="15.75" customHeight="1">
      <c r="H670" s="67"/>
    </row>
    <row r="671" spans="8:8" ht="15.75" customHeight="1">
      <c r="H671" s="67"/>
    </row>
    <row r="672" spans="8:8" ht="15.75" customHeight="1">
      <c r="H672" s="67"/>
    </row>
    <row r="673" spans="8:8" ht="15.75" customHeight="1">
      <c r="H673" s="67"/>
    </row>
    <row r="674" spans="8:8" ht="15.75" customHeight="1">
      <c r="H674" s="67"/>
    </row>
    <row r="675" spans="8:8" ht="15.75" customHeight="1">
      <c r="H675" s="67"/>
    </row>
    <row r="676" spans="8:8" ht="15.75" customHeight="1">
      <c r="H676" s="67"/>
    </row>
    <row r="677" spans="8:8" ht="15.75" customHeight="1">
      <c r="H677" s="67"/>
    </row>
    <row r="678" spans="8:8" ht="15.75" customHeight="1">
      <c r="H678" s="67"/>
    </row>
    <row r="679" spans="8:8" ht="15.75" customHeight="1">
      <c r="H679" s="67"/>
    </row>
    <row r="680" spans="8:8" ht="15.75" customHeight="1">
      <c r="H680" s="67"/>
    </row>
    <row r="681" spans="8:8" ht="15.75" customHeight="1">
      <c r="H681" s="67"/>
    </row>
    <row r="682" spans="8:8" ht="15.75" customHeight="1">
      <c r="H682" s="67"/>
    </row>
    <row r="683" spans="8:8" ht="15.75" customHeight="1">
      <c r="H683" s="67"/>
    </row>
    <row r="684" spans="8:8" ht="15.75" customHeight="1">
      <c r="H684" s="67"/>
    </row>
    <row r="685" spans="8:8" ht="15.75" customHeight="1">
      <c r="H685" s="67"/>
    </row>
    <row r="686" spans="8:8" ht="15.75" customHeight="1">
      <c r="H686" s="67"/>
    </row>
    <row r="687" spans="8:8" ht="15.75" customHeight="1">
      <c r="H687" s="67"/>
    </row>
    <row r="688" spans="8:8" ht="15.75" customHeight="1">
      <c r="H688" s="67"/>
    </row>
    <row r="689" spans="8:8" ht="15.75" customHeight="1">
      <c r="H689" s="67"/>
    </row>
    <row r="690" spans="8:8" ht="15.75" customHeight="1">
      <c r="H690" s="67"/>
    </row>
    <row r="691" spans="8:8" ht="15.75" customHeight="1">
      <c r="H691" s="67"/>
    </row>
    <row r="692" spans="8:8" ht="15.75" customHeight="1">
      <c r="H692" s="67"/>
    </row>
    <row r="693" spans="8:8" ht="15.75" customHeight="1">
      <c r="H693" s="67"/>
    </row>
    <row r="694" spans="8:8" ht="15.75" customHeight="1">
      <c r="H694" s="67"/>
    </row>
    <row r="695" spans="8:8" ht="15.75" customHeight="1">
      <c r="H695" s="67"/>
    </row>
    <row r="696" spans="8:8" ht="15.75" customHeight="1">
      <c r="H696" s="67"/>
    </row>
    <row r="697" spans="8:8" ht="15.75" customHeight="1">
      <c r="H697" s="67"/>
    </row>
    <row r="698" spans="8:8" ht="15.75" customHeight="1">
      <c r="H698" s="67"/>
    </row>
    <row r="699" spans="8:8" ht="15.75" customHeight="1">
      <c r="H699" s="67"/>
    </row>
    <row r="700" spans="8:8" ht="15.75" customHeight="1">
      <c r="H700" s="67"/>
    </row>
    <row r="701" spans="8:8" ht="15.75" customHeight="1">
      <c r="H701" s="67"/>
    </row>
    <row r="702" spans="8:8" ht="15.75" customHeight="1">
      <c r="H702" s="67"/>
    </row>
    <row r="703" spans="8:8" ht="15.75" customHeight="1">
      <c r="H703" s="67"/>
    </row>
    <row r="704" spans="8:8" ht="15.75" customHeight="1">
      <c r="H704" s="67"/>
    </row>
    <row r="705" spans="8:8" ht="15.75" customHeight="1">
      <c r="H705" s="67"/>
    </row>
    <row r="706" spans="8:8" ht="15.75" customHeight="1">
      <c r="H706" s="67"/>
    </row>
    <row r="707" spans="8:8" ht="15.75" customHeight="1">
      <c r="H707" s="67"/>
    </row>
    <row r="708" spans="8:8" ht="15.75" customHeight="1">
      <c r="H708" s="67"/>
    </row>
    <row r="709" spans="8:8" ht="15.75" customHeight="1">
      <c r="H709" s="67"/>
    </row>
    <row r="710" spans="8:8" ht="15.75" customHeight="1">
      <c r="H710" s="67"/>
    </row>
    <row r="711" spans="8:8" ht="15.75" customHeight="1">
      <c r="H711" s="67"/>
    </row>
    <row r="712" spans="8:8" ht="15.75" customHeight="1">
      <c r="H712" s="67"/>
    </row>
    <row r="713" spans="8:8" ht="15.75" customHeight="1">
      <c r="H713" s="67"/>
    </row>
    <row r="714" spans="8:8" ht="15.75" customHeight="1">
      <c r="H714" s="67"/>
    </row>
    <row r="715" spans="8:8" ht="15.75" customHeight="1">
      <c r="H715" s="67"/>
    </row>
    <row r="716" spans="8:8" ht="15.75" customHeight="1">
      <c r="H716" s="67"/>
    </row>
    <row r="717" spans="8:8" ht="15.75" customHeight="1">
      <c r="H717" s="67"/>
    </row>
    <row r="718" spans="8:8" ht="15.75" customHeight="1">
      <c r="H718" s="67"/>
    </row>
    <row r="719" spans="8:8" ht="15.75" customHeight="1">
      <c r="H719" s="67"/>
    </row>
    <row r="720" spans="8:8" ht="15.75" customHeight="1">
      <c r="H720" s="67"/>
    </row>
    <row r="721" spans="8:8" ht="15.75" customHeight="1">
      <c r="H721" s="67"/>
    </row>
    <row r="722" spans="8:8" ht="15.75" customHeight="1">
      <c r="H722" s="67"/>
    </row>
    <row r="723" spans="8:8" ht="15.75" customHeight="1">
      <c r="H723" s="67"/>
    </row>
    <row r="724" spans="8:8" ht="15.75" customHeight="1">
      <c r="H724" s="67"/>
    </row>
    <row r="725" spans="8:8" ht="15.75" customHeight="1">
      <c r="H725" s="67"/>
    </row>
    <row r="726" spans="8:8" ht="15.75" customHeight="1">
      <c r="H726" s="67"/>
    </row>
    <row r="727" spans="8:8" ht="15.75" customHeight="1">
      <c r="H727" s="67"/>
    </row>
    <row r="728" spans="8:8" ht="15.75" customHeight="1">
      <c r="H728" s="67"/>
    </row>
    <row r="729" spans="8:8" ht="15.75" customHeight="1">
      <c r="H729" s="67"/>
    </row>
    <row r="730" spans="8:8" ht="15.75" customHeight="1">
      <c r="H730" s="67"/>
    </row>
    <row r="731" spans="8:8" ht="15.75" customHeight="1">
      <c r="H731" s="67"/>
    </row>
    <row r="732" spans="8:8" ht="15.75" customHeight="1">
      <c r="H732" s="67"/>
    </row>
    <row r="733" spans="8:8" ht="15.75" customHeight="1">
      <c r="H733" s="67"/>
    </row>
    <row r="734" spans="8:8" ht="15.75" customHeight="1">
      <c r="H734" s="67"/>
    </row>
    <row r="735" spans="8:8" ht="15.75" customHeight="1">
      <c r="H735" s="67"/>
    </row>
    <row r="736" spans="8:8" ht="15.75" customHeight="1">
      <c r="H736" s="67"/>
    </row>
    <row r="737" spans="8:8" ht="15.75" customHeight="1">
      <c r="H737" s="67"/>
    </row>
    <row r="738" spans="8:8" ht="15.75" customHeight="1">
      <c r="H738" s="67"/>
    </row>
    <row r="739" spans="8:8" ht="15.75" customHeight="1">
      <c r="H739" s="67"/>
    </row>
    <row r="740" spans="8:8" ht="15.75" customHeight="1">
      <c r="H740" s="67"/>
    </row>
    <row r="741" spans="8:8" ht="15.75" customHeight="1">
      <c r="H741" s="67"/>
    </row>
    <row r="742" spans="8:8" ht="15.75" customHeight="1">
      <c r="H742" s="67"/>
    </row>
    <row r="743" spans="8:8" ht="15.75" customHeight="1">
      <c r="H743" s="67"/>
    </row>
    <row r="744" spans="8:8" ht="15.75" customHeight="1">
      <c r="H744" s="67"/>
    </row>
    <row r="745" spans="8:8" ht="15.75" customHeight="1">
      <c r="H745" s="67"/>
    </row>
    <row r="746" spans="8:8" ht="15.75" customHeight="1">
      <c r="H746" s="67"/>
    </row>
    <row r="747" spans="8:8" ht="15.75" customHeight="1">
      <c r="H747" s="67"/>
    </row>
    <row r="748" spans="8:8" ht="15.75" customHeight="1">
      <c r="H748" s="67"/>
    </row>
    <row r="749" spans="8:8" ht="15.75" customHeight="1">
      <c r="H749" s="67"/>
    </row>
    <row r="750" spans="8:8" ht="15.75" customHeight="1">
      <c r="H750" s="67"/>
    </row>
    <row r="751" spans="8:8" ht="15.75" customHeight="1">
      <c r="H751" s="67"/>
    </row>
    <row r="752" spans="8:8" ht="15.75" customHeight="1">
      <c r="H752" s="67"/>
    </row>
    <row r="753" spans="8:8" ht="15.75" customHeight="1">
      <c r="H753" s="67"/>
    </row>
    <row r="754" spans="8:8" ht="15.75" customHeight="1">
      <c r="H754" s="67"/>
    </row>
    <row r="755" spans="8:8" ht="15.75" customHeight="1">
      <c r="H755" s="67"/>
    </row>
    <row r="756" spans="8:8" ht="15.75" customHeight="1">
      <c r="H756" s="67"/>
    </row>
    <row r="757" spans="8:8" ht="15.75" customHeight="1">
      <c r="H757" s="67"/>
    </row>
    <row r="758" spans="8:8" ht="15.75" customHeight="1">
      <c r="H758" s="67"/>
    </row>
    <row r="759" spans="8:8" ht="15.75" customHeight="1">
      <c r="H759" s="67"/>
    </row>
    <row r="760" spans="8:8" ht="15.75" customHeight="1">
      <c r="H760" s="67"/>
    </row>
    <row r="761" spans="8:8" ht="15.75" customHeight="1">
      <c r="H761" s="67"/>
    </row>
    <row r="762" spans="8:8" ht="15.75" customHeight="1">
      <c r="H762" s="67"/>
    </row>
    <row r="763" spans="8:8" ht="15.75" customHeight="1">
      <c r="H763" s="67"/>
    </row>
    <row r="764" spans="8:8" ht="15.75" customHeight="1">
      <c r="H764" s="67"/>
    </row>
    <row r="765" spans="8:8" ht="15.75" customHeight="1">
      <c r="H765" s="67"/>
    </row>
    <row r="766" spans="8:8" ht="15.75" customHeight="1">
      <c r="H766" s="67"/>
    </row>
    <row r="767" spans="8:8" ht="15.75" customHeight="1">
      <c r="H767" s="67"/>
    </row>
    <row r="768" spans="8:8" ht="15.75" customHeight="1">
      <c r="H768" s="67"/>
    </row>
    <row r="769" spans="8:8" ht="15.75" customHeight="1">
      <c r="H769" s="67"/>
    </row>
    <row r="770" spans="8:8" ht="15.75" customHeight="1">
      <c r="H770" s="67"/>
    </row>
    <row r="771" spans="8:8" ht="15.75" customHeight="1">
      <c r="H771" s="67"/>
    </row>
    <row r="772" spans="8:8" ht="15.75" customHeight="1">
      <c r="H772" s="67"/>
    </row>
    <row r="773" spans="8:8" ht="15.75" customHeight="1">
      <c r="H773" s="67"/>
    </row>
    <row r="774" spans="8:8" ht="15.75" customHeight="1">
      <c r="H774" s="67"/>
    </row>
    <row r="775" spans="8:8" ht="15.75" customHeight="1">
      <c r="H775" s="67"/>
    </row>
    <row r="776" spans="8:8" ht="15.75" customHeight="1">
      <c r="H776" s="67"/>
    </row>
    <row r="777" spans="8:8" ht="15.75" customHeight="1">
      <c r="H777" s="67"/>
    </row>
    <row r="778" spans="8:8" ht="15.75" customHeight="1">
      <c r="H778" s="67"/>
    </row>
    <row r="779" spans="8:8" ht="15.75" customHeight="1">
      <c r="H779" s="67"/>
    </row>
    <row r="780" spans="8:8" ht="15.75" customHeight="1">
      <c r="H780" s="67"/>
    </row>
    <row r="781" spans="8:8" ht="15.75" customHeight="1">
      <c r="H781" s="67"/>
    </row>
    <row r="782" spans="8:8" ht="15.75" customHeight="1">
      <c r="H782" s="67"/>
    </row>
    <row r="783" spans="8:8" ht="15.75" customHeight="1">
      <c r="H783" s="67"/>
    </row>
    <row r="784" spans="8:8" ht="15.75" customHeight="1">
      <c r="H784" s="67"/>
    </row>
    <row r="785" spans="8:8" ht="15.75" customHeight="1">
      <c r="H785" s="67"/>
    </row>
    <row r="786" spans="8:8" ht="15.75" customHeight="1">
      <c r="H786" s="67"/>
    </row>
    <row r="787" spans="8:8" ht="15.75" customHeight="1">
      <c r="H787" s="67"/>
    </row>
    <row r="788" spans="8:8" ht="15.75" customHeight="1">
      <c r="H788" s="67"/>
    </row>
    <row r="789" spans="8:8" ht="15.75" customHeight="1">
      <c r="H789" s="67"/>
    </row>
    <row r="790" spans="8:8" ht="15.75" customHeight="1">
      <c r="H790" s="67"/>
    </row>
    <row r="791" spans="8:8" ht="15.75" customHeight="1">
      <c r="H791" s="67"/>
    </row>
    <row r="792" spans="8:8" ht="15.75" customHeight="1">
      <c r="H792" s="67"/>
    </row>
    <row r="793" spans="8:8" ht="15.75" customHeight="1">
      <c r="H793" s="67"/>
    </row>
    <row r="794" spans="8:8" ht="15.75" customHeight="1">
      <c r="H794" s="67"/>
    </row>
    <row r="795" spans="8:8" ht="15.75" customHeight="1">
      <c r="H795" s="67"/>
    </row>
    <row r="796" spans="8:8" ht="15.75" customHeight="1">
      <c r="H796" s="67"/>
    </row>
    <row r="797" spans="8:8" ht="15.75" customHeight="1">
      <c r="H797" s="67"/>
    </row>
    <row r="798" spans="8:8" ht="15.75" customHeight="1">
      <c r="H798" s="67"/>
    </row>
    <row r="799" spans="8:8" ht="15.75" customHeight="1">
      <c r="H799" s="67"/>
    </row>
    <row r="800" spans="8:8" ht="15.75" customHeight="1">
      <c r="H800" s="67"/>
    </row>
    <row r="801" spans="8:8" ht="15.75" customHeight="1">
      <c r="H801" s="67"/>
    </row>
    <row r="802" spans="8:8" ht="15.75" customHeight="1">
      <c r="H802" s="67"/>
    </row>
    <row r="803" spans="8:8" ht="15.75" customHeight="1">
      <c r="H803" s="67"/>
    </row>
    <row r="804" spans="8:8" ht="15.75" customHeight="1">
      <c r="H804" s="67"/>
    </row>
    <row r="805" spans="8:8" ht="15.75" customHeight="1">
      <c r="H805" s="67"/>
    </row>
    <row r="806" spans="8:8" ht="15.75" customHeight="1">
      <c r="H806" s="67"/>
    </row>
    <row r="807" spans="8:8" ht="15.75" customHeight="1">
      <c r="H807" s="67"/>
    </row>
    <row r="808" spans="8:8" ht="15.75" customHeight="1">
      <c r="H808" s="67"/>
    </row>
    <row r="809" spans="8:8" ht="15.75" customHeight="1">
      <c r="H809" s="67"/>
    </row>
    <row r="810" spans="8:8" ht="15.75" customHeight="1">
      <c r="H810" s="67"/>
    </row>
    <row r="811" spans="8:8" ht="15.75" customHeight="1">
      <c r="H811" s="67"/>
    </row>
    <row r="812" spans="8:8" ht="15.75" customHeight="1">
      <c r="H812" s="67"/>
    </row>
    <row r="813" spans="8:8" ht="15.75" customHeight="1">
      <c r="H813" s="67"/>
    </row>
    <row r="814" spans="8:8" ht="15.75" customHeight="1">
      <c r="H814" s="67"/>
    </row>
    <row r="815" spans="8:8" ht="15.75" customHeight="1">
      <c r="H815" s="67"/>
    </row>
    <row r="816" spans="8:8" ht="15.75" customHeight="1">
      <c r="H816" s="67"/>
    </row>
    <row r="817" spans="8:8" ht="15.75" customHeight="1">
      <c r="H817" s="67"/>
    </row>
    <row r="818" spans="8:8" ht="15.75" customHeight="1">
      <c r="H818" s="67"/>
    </row>
    <row r="819" spans="8:8" ht="15.75" customHeight="1">
      <c r="H819" s="67"/>
    </row>
    <row r="820" spans="8:8" ht="15.75" customHeight="1">
      <c r="H820" s="67"/>
    </row>
    <row r="821" spans="8:8" ht="15.75" customHeight="1">
      <c r="H821" s="67"/>
    </row>
    <row r="822" spans="8:8" ht="15.75" customHeight="1">
      <c r="H822" s="67"/>
    </row>
    <row r="823" spans="8:8" ht="15.75" customHeight="1">
      <c r="H823" s="67"/>
    </row>
    <row r="824" spans="8:8" ht="15.75" customHeight="1">
      <c r="H824" s="67"/>
    </row>
    <row r="825" spans="8:8" ht="15.75" customHeight="1">
      <c r="H825" s="67"/>
    </row>
    <row r="826" spans="8:8" ht="15.75" customHeight="1">
      <c r="H826" s="67"/>
    </row>
    <row r="827" spans="8:8" ht="15.75" customHeight="1">
      <c r="H827" s="67"/>
    </row>
    <row r="828" spans="8:8" ht="15.75" customHeight="1">
      <c r="H828" s="67"/>
    </row>
    <row r="829" spans="8:8" ht="15.75" customHeight="1">
      <c r="H829" s="67"/>
    </row>
    <row r="830" spans="8:8" ht="15.75" customHeight="1">
      <c r="H830" s="67"/>
    </row>
    <row r="831" spans="8:8" ht="15.75" customHeight="1">
      <c r="H831" s="67"/>
    </row>
    <row r="832" spans="8:8" ht="15.75" customHeight="1">
      <c r="H832" s="67"/>
    </row>
    <row r="833" spans="8:8" ht="15.75" customHeight="1">
      <c r="H833" s="67"/>
    </row>
    <row r="834" spans="8:8" ht="15.75" customHeight="1">
      <c r="H834" s="67"/>
    </row>
    <row r="835" spans="8:8" ht="15.75" customHeight="1">
      <c r="H835" s="67"/>
    </row>
    <row r="836" spans="8:8" ht="15.75" customHeight="1">
      <c r="H836" s="67"/>
    </row>
    <row r="837" spans="8:8" ht="15.75" customHeight="1">
      <c r="H837" s="67"/>
    </row>
    <row r="838" spans="8:8" ht="15.75" customHeight="1">
      <c r="H838" s="67"/>
    </row>
    <row r="839" spans="8:8" ht="15.75" customHeight="1">
      <c r="H839" s="67"/>
    </row>
    <row r="840" spans="8:8" ht="15.75" customHeight="1">
      <c r="H840" s="67"/>
    </row>
    <row r="841" spans="8:8" ht="15.75" customHeight="1">
      <c r="H841" s="67"/>
    </row>
    <row r="842" spans="8:8" ht="15.75" customHeight="1">
      <c r="H842" s="67"/>
    </row>
    <row r="843" spans="8:8" ht="15.75" customHeight="1">
      <c r="H843" s="67"/>
    </row>
    <row r="844" spans="8:8" ht="15.75" customHeight="1">
      <c r="H844" s="67"/>
    </row>
    <row r="845" spans="8:8" ht="15.75" customHeight="1">
      <c r="H845" s="67"/>
    </row>
    <row r="846" spans="8:8" ht="15.75" customHeight="1">
      <c r="H846" s="67"/>
    </row>
    <row r="847" spans="8:8" ht="15.75" customHeight="1">
      <c r="H847" s="67"/>
    </row>
    <row r="848" spans="8:8" ht="15.75" customHeight="1">
      <c r="H848" s="67"/>
    </row>
    <row r="849" spans="8:8" ht="15.75" customHeight="1">
      <c r="H849" s="67"/>
    </row>
    <row r="850" spans="8:8" ht="15.75" customHeight="1">
      <c r="H850" s="67"/>
    </row>
    <row r="851" spans="8:8" ht="15.75" customHeight="1">
      <c r="H851" s="67"/>
    </row>
    <row r="852" spans="8:8" ht="15.75" customHeight="1">
      <c r="H852" s="67"/>
    </row>
    <row r="853" spans="8:8" ht="15.75" customHeight="1">
      <c r="H853" s="67"/>
    </row>
    <row r="854" spans="8:8" ht="15.75" customHeight="1">
      <c r="H854" s="67"/>
    </row>
    <row r="855" spans="8:8" ht="15.75" customHeight="1">
      <c r="H855" s="67"/>
    </row>
    <row r="856" spans="8:8" ht="15.75" customHeight="1">
      <c r="H856" s="67"/>
    </row>
    <row r="857" spans="8:8" ht="15.75" customHeight="1">
      <c r="H857" s="67"/>
    </row>
    <row r="858" spans="8:8" ht="15.75" customHeight="1">
      <c r="H858" s="67"/>
    </row>
    <row r="859" spans="8:8" ht="15.75" customHeight="1">
      <c r="H859" s="67"/>
    </row>
    <row r="860" spans="8:8" ht="15.75" customHeight="1">
      <c r="H860" s="67"/>
    </row>
    <row r="861" spans="8:8" ht="15.75" customHeight="1">
      <c r="H861" s="67"/>
    </row>
    <row r="862" spans="8:8" ht="15.75" customHeight="1">
      <c r="H862" s="67"/>
    </row>
    <row r="863" spans="8:8" ht="15.75" customHeight="1">
      <c r="H863" s="67"/>
    </row>
    <row r="864" spans="8:8" ht="15.75" customHeight="1">
      <c r="H864" s="67"/>
    </row>
    <row r="865" spans="8:8" ht="15.75" customHeight="1">
      <c r="H865" s="67"/>
    </row>
    <row r="866" spans="8:8" ht="15.75" customHeight="1">
      <c r="H866" s="67"/>
    </row>
    <row r="867" spans="8:8" ht="15.75" customHeight="1">
      <c r="H867" s="67"/>
    </row>
    <row r="868" spans="8:8" ht="15.75" customHeight="1">
      <c r="H868" s="67"/>
    </row>
    <row r="869" spans="8:8" ht="15.75" customHeight="1">
      <c r="H869" s="67"/>
    </row>
    <row r="870" spans="8:8" ht="15.75" customHeight="1">
      <c r="H870" s="67"/>
    </row>
    <row r="871" spans="8:8" ht="15.75" customHeight="1">
      <c r="H871" s="67"/>
    </row>
    <row r="872" spans="8:8" ht="15.75" customHeight="1">
      <c r="H872" s="67"/>
    </row>
    <row r="873" spans="8:8" ht="15.75" customHeight="1">
      <c r="H873" s="67"/>
    </row>
    <row r="874" spans="8:8" ht="15.75" customHeight="1">
      <c r="H874" s="67"/>
    </row>
    <row r="875" spans="8:8" ht="15.75" customHeight="1">
      <c r="H875" s="67"/>
    </row>
    <row r="876" spans="8:8" ht="15.75" customHeight="1">
      <c r="H876" s="67"/>
    </row>
    <row r="877" spans="8:8" ht="15.75" customHeight="1">
      <c r="H877" s="67"/>
    </row>
    <row r="878" spans="8:8" ht="15.75" customHeight="1">
      <c r="H878" s="67"/>
    </row>
    <row r="879" spans="8:8" ht="15.75" customHeight="1">
      <c r="H879" s="67"/>
    </row>
    <row r="880" spans="8:8" ht="15.75" customHeight="1">
      <c r="H880" s="67"/>
    </row>
    <row r="881" spans="8:8" ht="15.75" customHeight="1">
      <c r="H881" s="67"/>
    </row>
    <row r="882" spans="8:8" ht="15.75" customHeight="1">
      <c r="H882" s="67"/>
    </row>
    <row r="883" spans="8:8" ht="15.75" customHeight="1">
      <c r="H883" s="67"/>
    </row>
    <row r="884" spans="8:8" ht="15.75" customHeight="1">
      <c r="H884" s="67"/>
    </row>
    <row r="885" spans="8:8" ht="15.75" customHeight="1">
      <c r="H885" s="67"/>
    </row>
    <row r="886" spans="8:8" ht="15.75" customHeight="1">
      <c r="H886" s="67"/>
    </row>
    <row r="887" spans="8:8" ht="15.75" customHeight="1">
      <c r="H887" s="67"/>
    </row>
    <row r="888" spans="8:8" ht="15.75" customHeight="1">
      <c r="H888" s="67"/>
    </row>
    <row r="889" spans="8:8" ht="15.75" customHeight="1">
      <c r="H889" s="67"/>
    </row>
    <row r="890" spans="8:8" ht="15.75" customHeight="1">
      <c r="H890" s="67"/>
    </row>
    <row r="891" spans="8:8" ht="15.75" customHeight="1">
      <c r="H891" s="67"/>
    </row>
    <row r="892" spans="8:8" ht="15.75" customHeight="1">
      <c r="H892" s="67"/>
    </row>
    <row r="893" spans="8:8" ht="15.75" customHeight="1">
      <c r="H893" s="67"/>
    </row>
    <row r="894" spans="8:8" ht="15.75" customHeight="1">
      <c r="H894" s="67"/>
    </row>
    <row r="895" spans="8:8" ht="15.75" customHeight="1">
      <c r="H895" s="67"/>
    </row>
    <row r="896" spans="8:8" ht="15.75" customHeight="1">
      <c r="H896" s="67"/>
    </row>
    <row r="897" spans="8:8" ht="15.75" customHeight="1">
      <c r="H897" s="67"/>
    </row>
    <row r="898" spans="8:8" ht="15.75" customHeight="1">
      <c r="H898" s="67"/>
    </row>
    <row r="899" spans="8:8" ht="15.75" customHeight="1">
      <c r="H899" s="67"/>
    </row>
    <row r="900" spans="8:8" ht="15.75" customHeight="1">
      <c r="H900" s="67"/>
    </row>
    <row r="901" spans="8:8" ht="15.75" customHeight="1">
      <c r="H901" s="67"/>
    </row>
    <row r="902" spans="8:8" ht="15.75" customHeight="1">
      <c r="H902" s="67"/>
    </row>
    <row r="903" spans="8:8" ht="15.75" customHeight="1">
      <c r="H903" s="67"/>
    </row>
    <row r="904" spans="8:8" ht="15.75" customHeight="1">
      <c r="H904" s="67"/>
    </row>
    <row r="905" spans="8:8" ht="15.75" customHeight="1">
      <c r="H905" s="67"/>
    </row>
    <row r="906" spans="8:8" ht="15.75" customHeight="1">
      <c r="H906" s="67"/>
    </row>
    <row r="907" spans="8:8" ht="15.75" customHeight="1">
      <c r="H907" s="67"/>
    </row>
    <row r="908" spans="8:8" ht="15.75" customHeight="1">
      <c r="H908" s="67"/>
    </row>
    <row r="909" spans="8:8" ht="15.75" customHeight="1">
      <c r="H909" s="67"/>
    </row>
    <row r="910" spans="8:8" ht="15.75" customHeight="1">
      <c r="H910" s="67"/>
    </row>
    <row r="911" spans="8:8" ht="15.75" customHeight="1">
      <c r="H911" s="67"/>
    </row>
    <row r="912" spans="8:8" ht="15.75" customHeight="1">
      <c r="H912" s="67"/>
    </row>
    <row r="913" spans="8:8" ht="15.75" customHeight="1">
      <c r="H913" s="67"/>
    </row>
    <row r="914" spans="8:8" ht="15.75" customHeight="1">
      <c r="H914" s="67"/>
    </row>
    <row r="915" spans="8:8" ht="15.75" customHeight="1">
      <c r="H915" s="67"/>
    </row>
    <row r="916" spans="8:8" ht="15.75" customHeight="1">
      <c r="H916" s="67"/>
    </row>
    <row r="917" spans="8:8" ht="15.75" customHeight="1">
      <c r="H917" s="67"/>
    </row>
    <row r="918" spans="8:8" ht="15.75" customHeight="1">
      <c r="H918" s="67"/>
    </row>
    <row r="919" spans="8:8" ht="15.75" customHeight="1">
      <c r="H919" s="67"/>
    </row>
    <row r="920" spans="8:8" ht="15.75" customHeight="1">
      <c r="H920" s="67"/>
    </row>
    <row r="921" spans="8:8" ht="15.75" customHeight="1">
      <c r="H921" s="67"/>
    </row>
    <row r="922" spans="8:8" ht="15.75" customHeight="1">
      <c r="H922" s="67"/>
    </row>
    <row r="923" spans="8:8" ht="15.75" customHeight="1">
      <c r="H923" s="67"/>
    </row>
    <row r="924" spans="8:8" ht="15.75" customHeight="1">
      <c r="H924" s="67"/>
    </row>
    <row r="925" spans="8:8" ht="15.75" customHeight="1">
      <c r="H925" s="67"/>
    </row>
    <row r="926" spans="8:8" ht="15.75" customHeight="1">
      <c r="H926" s="67"/>
    </row>
    <row r="927" spans="8:8" ht="15.75" customHeight="1">
      <c r="H927" s="67"/>
    </row>
    <row r="928" spans="8:8" ht="15.75" customHeight="1">
      <c r="H928" s="67"/>
    </row>
    <row r="929" spans="8:8" ht="15.75" customHeight="1">
      <c r="H929" s="67"/>
    </row>
    <row r="930" spans="8:8" ht="15.75" customHeight="1">
      <c r="H930" s="67"/>
    </row>
    <row r="931" spans="8:8" ht="15.75" customHeight="1">
      <c r="H931" s="67"/>
    </row>
    <row r="932" spans="8:8" ht="15.75" customHeight="1">
      <c r="H932" s="67"/>
    </row>
    <row r="933" spans="8:8" ht="15.75" customHeight="1">
      <c r="H933" s="67"/>
    </row>
    <row r="934" spans="8:8" ht="15.75" customHeight="1">
      <c r="H934" s="67"/>
    </row>
    <row r="935" spans="8:8" ht="15.75" customHeight="1">
      <c r="H935" s="67"/>
    </row>
    <row r="936" spans="8:8" ht="15.75" customHeight="1">
      <c r="H936" s="67"/>
    </row>
    <row r="937" spans="8:8" ht="15.75" customHeight="1">
      <c r="H937" s="67"/>
    </row>
    <row r="938" spans="8:8" ht="15.75" customHeight="1">
      <c r="H938" s="67"/>
    </row>
    <row r="939" spans="8:8" ht="15.75" customHeight="1">
      <c r="H939" s="67"/>
    </row>
    <row r="940" spans="8:8" ht="15.75" customHeight="1">
      <c r="H940" s="67"/>
    </row>
    <row r="941" spans="8:8" ht="15.75" customHeight="1">
      <c r="H941" s="67"/>
    </row>
    <row r="942" spans="8:8" ht="15.75" customHeight="1">
      <c r="H942" s="67"/>
    </row>
    <row r="943" spans="8:8" ht="15.75" customHeight="1">
      <c r="H943" s="67"/>
    </row>
    <row r="944" spans="8:8" ht="15.75" customHeight="1">
      <c r="H944" s="67"/>
    </row>
    <row r="945" spans="8:8" ht="15.75" customHeight="1">
      <c r="H945" s="67"/>
    </row>
    <row r="946" spans="8:8" ht="15.75" customHeight="1">
      <c r="H946" s="67"/>
    </row>
    <row r="947" spans="8:8" ht="15.75" customHeight="1">
      <c r="H947" s="67"/>
    </row>
    <row r="948" spans="8:8" ht="15.75" customHeight="1">
      <c r="H948" s="67"/>
    </row>
    <row r="949" spans="8:8" ht="15.75" customHeight="1">
      <c r="H949" s="67"/>
    </row>
    <row r="950" spans="8:8" ht="15.75" customHeight="1">
      <c r="H950" s="67"/>
    </row>
    <row r="951" spans="8:8" ht="15.75" customHeight="1">
      <c r="H951" s="67"/>
    </row>
    <row r="952" spans="8:8" ht="15.75" customHeight="1">
      <c r="H952" s="67"/>
    </row>
    <row r="953" spans="8:8" ht="15.75" customHeight="1">
      <c r="H953" s="67"/>
    </row>
    <row r="954" spans="8:8" ht="15.75" customHeight="1">
      <c r="H954" s="67"/>
    </row>
    <row r="955" spans="8:8" ht="15.75" customHeight="1">
      <c r="H955" s="67"/>
    </row>
    <row r="956" spans="8:8" ht="15.75" customHeight="1">
      <c r="H956" s="67"/>
    </row>
    <row r="957" spans="8:8" ht="15.75" customHeight="1">
      <c r="H957" s="67"/>
    </row>
    <row r="958" spans="8:8" ht="15.75" customHeight="1">
      <c r="H958" s="67"/>
    </row>
    <row r="959" spans="8:8" ht="15.75" customHeight="1">
      <c r="H959" s="67"/>
    </row>
    <row r="960" spans="8:8" ht="15.75" customHeight="1">
      <c r="H960" s="67"/>
    </row>
    <row r="961" spans="8:8" ht="15.75" customHeight="1">
      <c r="H961" s="67"/>
    </row>
    <row r="962" spans="8:8" ht="15.75" customHeight="1">
      <c r="H962" s="67"/>
    </row>
    <row r="963" spans="8:8" ht="15.75" customHeight="1">
      <c r="H963" s="67"/>
    </row>
    <row r="964" spans="8:8" ht="15.75" customHeight="1">
      <c r="H964" s="67"/>
    </row>
    <row r="965" spans="8:8" ht="15.75" customHeight="1">
      <c r="H965" s="67"/>
    </row>
    <row r="966" spans="8:8" ht="15.75" customHeight="1">
      <c r="H966" s="67"/>
    </row>
    <row r="967" spans="8:8" ht="15.75" customHeight="1">
      <c r="H967" s="67"/>
    </row>
    <row r="968" spans="8:8" ht="15.75" customHeight="1">
      <c r="H968" s="67"/>
    </row>
    <row r="969" spans="8:8" ht="15.75" customHeight="1">
      <c r="H969" s="67"/>
    </row>
    <row r="970" spans="8:8" ht="15.75" customHeight="1">
      <c r="H970" s="67"/>
    </row>
    <row r="971" spans="8:8" ht="15.75" customHeight="1">
      <c r="H971" s="67"/>
    </row>
    <row r="972" spans="8:8" ht="15.75" customHeight="1">
      <c r="H972" s="67"/>
    </row>
    <row r="973" spans="8:8" ht="15.75" customHeight="1">
      <c r="H973" s="67"/>
    </row>
    <row r="974" spans="8:8" ht="15.75" customHeight="1">
      <c r="H974" s="67"/>
    </row>
    <row r="975" spans="8:8" ht="15.75" customHeight="1">
      <c r="H975" s="67"/>
    </row>
    <row r="976" spans="8:8" ht="15.75" customHeight="1">
      <c r="H976" s="67"/>
    </row>
    <row r="977" spans="8:8" ht="15.75" customHeight="1">
      <c r="H977" s="67"/>
    </row>
    <row r="978" spans="8:8" ht="15.75" customHeight="1">
      <c r="H978" s="67"/>
    </row>
    <row r="979" spans="8:8" ht="15.75" customHeight="1">
      <c r="H979" s="67"/>
    </row>
    <row r="980" spans="8:8" ht="15.75" customHeight="1">
      <c r="H980" s="67"/>
    </row>
    <row r="981" spans="8:8" ht="15.75" customHeight="1">
      <c r="H981" s="67"/>
    </row>
    <row r="982" spans="8:8" ht="15.75" customHeight="1">
      <c r="H982" s="67"/>
    </row>
    <row r="983" spans="8:8" ht="15.75" customHeight="1">
      <c r="H983" s="67"/>
    </row>
    <row r="984" spans="8:8" ht="15.75" customHeight="1">
      <c r="H984" s="67"/>
    </row>
    <row r="985" spans="8:8" ht="15.75" customHeight="1">
      <c r="H985" s="67"/>
    </row>
    <row r="986" spans="8:8" ht="15.75" customHeight="1">
      <c r="H986" s="67"/>
    </row>
    <row r="987" spans="8:8" ht="15.75" customHeight="1">
      <c r="H987" s="67"/>
    </row>
    <row r="988" spans="8:8" ht="15.75" customHeight="1">
      <c r="H988" s="67"/>
    </row>
    <row r="989" spans="8:8" ht="15.75" customHeight="1">
      <c r="H989" s="67"/>
    </row>
    <row r="990" spans="8:8" ht="15.75" customHeight="1">
      <c r="H990" s="67"/>
    </row>
    <row r="991" spans="8:8" ht="15.75" customHeight="1">
      <c r="H991" s="67"/>
    </row>
    <row r="992" spans="8:8" ht="15.75" customHeight="1">
      <c r="H992" s="67"/>
    </row>
    <row r="993" spans="8:8" ht="15.75" customHeight="1">
      <c r="H993" s="67"/>
    </row>
    <row r="994" spans="8:8" ht="15.75" customHeight="1">
      <c r="H994" s="67"/>
    </row>
    <row r="995" spans="8:8" ht="15.75" customHeight="1">
      <c r="H995" s="67"/>
    </row>
    <row r="996" spans="8:8" ht="15.75" customHeight="1">
      <c r="H996" s="67"/>
    </row>
    <row r="997" spans="8:8" ht="15.75" customHeight="1">
      <c r="H997" s="67"/>
    </row>
    <row r="998" spans="8:8" ht="15.75" customHeight="1">
      <c r="H998" s="67"/>
    </row>
    <row r="999" spans="8:8" ht="15.75" customHeight="1">
      <c r="H999" s="67"/>
    </row>
    <row r="1000" spans="8:8" ht="15.75" customHeight="1">
      <c r="H1000" s="67"/>
    </row>
  </sheetData>
  <mergeCells count="8">
    <mergeCell ref="A38:I38"/>
    <mergeCell ref="A47:I47"/>
    <mergeCell ref="A54:B54"/>
    <mergeCell ref="A1:I1"/>
    <mergeCell ref="A2:I2"/>
    <mergeCell ref="A5:I5"/>
    <mergeCell ref="A16:I16"/>
    <mergeCell ref="A27:I27"/>
  </mergeCells>
  <dataValidations count="1">
    <dataValidation type="list" allowBlank="1" sqref="G6:G15 G17:G26 G28:G37 G39:G46 G48:G53">
      <formula1>"Pass,Fail,Not Run,Blocked"</formula1>
    </dataValidation>
  </dataValidations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>
  <dimension ref="A1:K1000"/>
  <sheetViews>
    <sheetView showGridLines="0" workbookViewId="0">
      <pane ySplit="3" topLeftCell="A4" activePane="bottomLeft" state="frozen"/>
      <selection pane="bottomLeft" activeCell="B5" sqref="B5"/>
    </sheetView>
  </sheetViews>
  <sheetFormatPr defaultColWidth="14.42578125" defaultRowHeight="15" customHeight="1"/>
  <cols>
    <col min="1" max="1" width="10" customWidth="1"/>
    <col min="2" max="2" width="12" customWidth="1"/>
    <col min="3" max="3" width="40" customWidth="1"/>
    <col min="4" max="4" width="20" customWidth="1"/>
    <col min="5" max="5" width="14" customWidth="1"/>
    <col min="6" max="7" width="16" customWidth="1"/>
    <col min="8" max="9" width="20" customWidth="1"/>
    <col min="10" max="10" width="16" customWidth="1"/>
    <col min="11" max="11" width="30" customWidth="1"/>
    <col min="12" max="26" width="8.7109375" customWidth="1"/>
  </cols>
  <sheetData>
    <row r="1" spans="1:11" ht="31.5" customHeight="1">
      <c r="A1" s="132" t="s">
        <v>917</v>
      </c>
      <c r="B1" s="119"/>
      <c r="C1" s="119"/>
      <c r="D1" s="119"/>
      <c r="E1" s="119"/>
      <c r="F1" s="119"/>
      <c r="G1" s="119"/>
      <c r="H1" s="119"/>
      <c r="I1" s="119"/>
      <c r="J1" s="119"/>
      <c r="K1" s="120"/>
    </row>
    <row r="2" spans="1:11" ht="15.75" customHeight="1">
      <c r="A2" s="133" t="s">
        <v>918</v>
      </c>
      <c r="B2" s="119"/>
      <c r="C2" s="119"/>
      <c r="D2" s="119"/>
      <c r="E2" s="119"/>
      <c r="F2" s="119"/>
      <c r="G2" s="119"/>
      <c r="H2" s="119"/>
      <c r="I2" s="119"/>
      <c r="J2" s="119"/>
      <c r="K2" s="120"/>
    </row>
    <row r="3" spans="1:11" ht="21.75" customHeight="1">
      <c r="A3" s="89" t="s">
        <v>919</v>
      </c>
      <c r="B3" s="89" t="s">
        <v>38</v>
      </c>
      <c r="C3" s="89" t="s">
        <v>920</v>
      </c>
      <c r="D3" s="89" t="s">
        <v>921</v>
      </c>
      <c r="E3" s="89" t="s">
        <v>41</v>
      </c>
      <c r="F3" s="89" t="s">
        <v>209</v>
      </c>
      <c r="G3" s="89" t="s">
        <v>922</v>
      </c>
      <c r="H3" s="89" t="s">
        <v>923</v>
      </c>
      <c r="I3" s="89" t="s">
        <v>924</v>
      </c>
      <c r="J3" s="89" t="s">
        <v>925</v>
      </c>
      <c r="K3" s="89" t="s">
        <v>8</v>
      </c>
    </row>
    <row r="4" spans="1:11" ht="19.5" customHeight="1">
      <c r="A4" s="90" t="s">
        <v>926</v>
      </c>
      <c r="B4" s="91" t="s">
        <v>927</v>
      </c>
      <c r="C4" s="92"/>
      <c r="D4" s="93"/>
      <c r="E4" s="93"/>
      <c r="F4" s="93"/>
      <c r="G4" s="93"/>
      <c r="H4" s="92"/>
      <c r="I4" s="92"/>
      <c r="J4" s="92"/>
      <c r="K4" s="93"/>
    </row>
    <row r="5" spans="1:11" ht="19.5" customHeight="1">
      <c r="A5" s="94"/>
      <c r="B5" s="94"/>
      <c r="C5" s="95"/>
      <c r="D5" s="96"/>
      <c r="E5" s="96"/>
      <c r="F5" s="96"/>
      <c r="G5" s="96"/>
      <c r="H5" s="95"/>
      <c r="I5" s="95"/>
      <c r="J5" s="95"/>
      <c r="K5" s="96"/>
    </row>
    <row r="6" spans="1:11" ht="19.5" customHeight="1">
      <c r="A6" s="90"/>
      <c r="B6" s="90"/>
      <c r="C6" s="92"/>
      <c r="D6" s="93"/>
      <c r="E6" s="93"/>
      <c r="F6" s="93"/>
      <c r="G6" s="93"/>
      <c r="H6" s="92"/>
      <c r="I6" s="92"/>
      <c r="J6" s="92"/>
      <c r="K6" s="93"/>
    </row>
    <row r="7" spans="1:11" ht="19.5" customHeight="1">
      <c r="A7" s="94"/>
      <c r="B7" s="94"/>
      <c r="C7" s="95"/>
      <c r="D7" s="96"/>
      <c r="E7" s="96"/>
      <c r="F7" s="96"/>
      <c r="G7" s="96"/>
      <c r="H7" s="95"/>
      <c r="I7" s="95"/>
      <c r="J7" s="95"/>
      <c r="K7" s="96"/>
    </row>
    <row r="8" spans="1:11" ht="19.5" customHeight="1">
      <c r="A8" s="90"/>
      <c r="B8" s="90"/>
      <c r="C8" s="92"/>
      <c r="D8" s="93"/>
      <c r="E8" s="93"/>
      <c r="F8" s="93"/>
      <c r="G8" s="93"/>
      <c r="H8" s="92"/>
      <c r="I8" s="92"/>
      <c r="J8" s="92"/>
      <c r="K8" s="93"/>
    </row>
    <row r="9" spans="1:11" ht="19.5" customHeight="1">
      <c r="A9" s="94"/>
      <c r="B9" s="94"/>
      <c r="C9" s="95"/>
      <c r="D9" s="96"/>
      <c r="E9" s="96"/>
      <c r="F9" s="96"/>
      <c r="G9" s="96"/>
      <c r="H9" s="95"/>
      <c r="I9" s="95"/>
      <c r="J9" s="95"/>
      <c r="K9" s="96"/>
    </row>
    <row r="10" spans="1:11" ht="19.5" customHeight="1">
      <c r="A10" s="90"/>
      <c r="B10" s="90"/>
      <c r="C10" s="92"/>
      <c r="D10" s="93"/>
      <c r="E10" s="93"/>
      <c r="F10" s="93"/>
      <c r="G10" s="93"/>
      <c r="H10" s="92"/>
      <c r="I10" s="92"/>
      <c r="J10" s="92"/>
      <c r="K10" s="93"/>
    </row>
    <row r="11" spans="1:11" ht="19.5" customHeight="1">
      <c r="A11" s="94"/>
      <c r="B11" s="94"/>
      <c r="C11" s="95"/>
      <c r="D11" s="96"/>
      <c r="E11" s="96"/>
      <c r="F11" s="96"/>
      <c r="G11" s="96"/>
      <c r="H11" s="95"/>
      <c r="I11" s="95"/>
      <c r="J11" s="95"/>
      <c r="K11" s="96"/>
    </row>
    <row r="12" spans="1:11" ht="19.5" customHeight="1">
      <c r="A12" s="90"/>
      <c r="B12" s="90"/>
      <c r="C12" s="92"/>
      <c r="D12" s="93"/>
      <c r="E12" s="93"/>
      <c r="F12" s="93"/>
      <c r="G12" s="93"/>
      <c r="H12" s="92"/>
      <c r="I12" s="92"/>
      <c r="J12" s="92"/>
      <c r="K12" s="93"/>
    </row>
    <row r="13" spans="1:11" ht="19.5" customHeight="1">
      <c r="A13" s="94"/>
      <c r="B13" s="94"/>
      <c r="C13" s="95"/>
      <c r="D13" s="96"/>
      <c r="E13" s="96"/>
      <c r="F13" s="96"/>
      <c r="G13" s="96"/>
      <c r="H13" s="95"/>
      <c r="I13" s="95"/>
      <c r="J13" s="95"/>
      <c r="K13" s="96"/>
    </row>
    <row r="14" spans="1:11" ht="19.5" customHeight="1">
      <c r="A14" s="90"/>
      <c r="B14" s="90"/>
      <c r="C14" s="92"/>
      <c r="D14" s="93"/>
      <c r="E14" s="93"/>
      <c r="F14" s="93"/>
      <c r="G14" s="93"/>
      <c r="H14" s="92"/>
      <c r="I14" s="92"/>
      <c r="J14" s="92"/>
      <c r="K14" s="93"/>
    </row>
    <row r="15" spans="1:11" ht="19.5" customHeight="1">
      <c r="A15" s="94"/>
      <c r="B15" s="94"/>
      <c r="C15" s="95"/>
      <c r="D15" s="96"/>
      <c r="E15" s="96"/>
      <c r="F15" s="96"/>
      <c r="G15" s="96"/>
      <c r="H15" s="95"/>
      <c r="I15" s="95"/>
      <c r="J15" s="95"/>
      <c r="K15" s="96"/>
    </row>
    <row r="16" spans="1:11" ht="19.5" customHeight="1">
      <c r="A16" s="90"/>
      <c r="B16" s="90"/>
      <c r="C16" s="92"/>
      <c r="D16" s="93"/>
      <c r="E16" s="93"/>
      <c r="F16" s="93"/>
      <c r="G16" s="93"/>
      <c r="H16" s="92"/>
      <c r="I16" s="92"/>
      <c r="J16" s="92"/>
      <c r="K16" s="93"/>
    </row>
    <row r="17" spans="1:11" ht="19.5" customHeight="1">
      <c r="A17" s="94"/>
      <c r="B17" s="94"/>
      <c r="C17" s="95"/>
      <c r="D17" s="96"/>
      <c r="E17" s="96"/>
      <c r="F17" s="96"/>
      <c r="G17" s="96"/>
      <c r="H17" s="95"/>
      <c r="I17" s="95"/>
      <c r="J17" s="95"/>
      <c r="K17" s="96"/>
    </row>
    <row r="18" spans="1:11" ht="19.5" customHeight="1">
      <c r="A18" s="90"/>
      <c r="B18" s="90"/>
      <c r="C18" s="92"/>
      <c r="D18" s="93"/>
      <c r="E18" s="93"/>
      <c r="F18" s="93"/>
      <c r="G18" s="93"/>
      <c r="H18" s="92"/>
      <c r="I18" s="92"/>
      <c r="J18" s="92"/>
      <c r="K18" s="93"/>
    </row>
    <row r="19" spans="1:11" ht="19.5" customHeight="1">
      <c r="A19" s="94"/>
      <c r="B19" s="94"/>
      <c r="C19" s="95"/>
      <c r="D19" s="96"/>
      <c r="E19" s="96"/>
      <c r="F19" s="96"/>
      <c r="G19" s="96"/>
      <c r="H19" s="95"/>
      <c r="I19" s="95"/>
      <c r="J19" s="95"/>
      <c r="K19" s="96"/>
    </row>
    <row r="20" spans="1:11" ht="19.5" customHeight="1">
      <c r="A20" s="90"/>
      <c r="B20" s="90"/>
      <c r="C20" s="92"/>
      <c r="D20" s="93"/>
      <c r="E20" s="93"/>
      <c r="F20" s="93"/>
      <c r="G20" s="93"/>
      <c r="H20" s="92"/>
      <c r="I20" s="92"/>
      <c r="J20" s="92"/>
      <c r="K20" s="93"/>
    </row>
    <row r="21" spans="1:11" ht="19.5" customHeight="1">
      <c r="A21" s="94"/>
      <c r="B21" s="94"/>
      <c r="C21" s="95"/>
      <c r="D21" s="96"/>
      <c r="E21" s="96"/>
      <c r="F21" s="96"/>
      <c r="G21" s="96"/>
      <c r="H21" s="95"/>
      <c r="I21" s="95"/>
      <c r="J21" s="95"/>
      <c r="K21" s="96"/>
    </row>
    <row r="22" spans="1:11" ht="19.5" customHeight="1">
      <c r="A22" s="90"/>
      <c r="B22" s="90"/>
      <c r="C22" s="92"/>
      <c r="D22" s="93"/>
      <c r="E22" s="93"/>
      <c r="F22" s="93"/>
      <c r="G22" s="93"/>
      <c r="H22" s="92"/>
      <c r="I22" s="92"/>
      <c r="J22" s="92"/>
      <c r="K22" s="93"/>
    </row>
    <row r="23" spans="1:11" ht="19.5" customHeight="1">
      <c r="A23" s="94"/>
      <c r="B23" s="94"/>
      <c r="C23" s="95"/>
      <c r="D23" s="96"/>
      <c r="E23" s="96"/>
      <c r="F23" s="96"/>
      <c r="G23" s="96"/>
      <c r="H23" s="95"/>
      <c r="I23" s="95"/>
      <c r="J23" s="95"/>
      <c r="K23" s="96"/>
    </row>
    <row r="24" spans="1:11" ht="15.75" customHeight="1">
      <c r="A24" s="94"/>
      <c r="B24" s="94"/>
      <c r="C24" s="95"/>
      <c r="D24" s="96"/>
      <c r="E24" s="96"/>
      <c r="F24" s="96"/>
      <c r="G24" s="96"/>
      <c r="H24" s="95"/>
      <c r="I24" s="95"/>
      <c r="J24" s="95"/>
      <c r="K24" s="96"/>
    </row>
    <row r="25" spans="1:11" ht="15.75" customHeight="1">
      <c r="A25" s="94"/>
      <c r="B25" s="94"/>
      <c r="C25" s="95"/>
      <c r="D25" s="96"/>
      <c r="E25" s="96"/>
      <c r="F25" s="96"/>
      <c r="G25" s="96"/>
      <c r="H25" s="95"/>
      <c r="I25" s="95"/>
      <c r="J25" s="95"/>
      <c r="K25" s="96"/>
    </row>
    <row r="26" spans="1:11" ht="15.75" customHeight="1">
      <c r="B26" s="35"/>
      <c r="E26" s="60"/>
      <c r="K26" s="60"/>
    </row>
    <row r="27" spans="1:11" ht="15.75" customHeight="1">
      <c r="B27" s="35"/>
      <c r="E27" s="60"/>
      <c r="K27" s="60"/>
    </row>
    <row r="28" spans="1:11" ht="15.75" customHeight="1">
      <c r="B28" s="35"/>
      <c r="E28" s="60"/>
      <c r="K28" s="60"/>
    </row>
    <row r="29" spans="1:11" ht="15.75" customHeight="1">
      <c r="B29" s="35"/>
      <c r="E29" s="60"/>
      <c r="K29" s="60"/>
    </row>
    <row r="30" spans="1:11" ht="15.75" customHeight="1">
      <c r="B30" s="35"/>
      <c r="E30" s="60"/>
      <c r="K30" s="60"/>
    </row>
    <row r="31" spans="1:11" ht="15.75" customHeight="1">
      <c r="B31" s="35"/>
      <c r="E31" s="60"/>
      <c r="K31" s="60"/>
    </row>
    <row r="32" spans="1:11" ht="15.75" customHeight="1">
      <c r="B32" s="35"/>
      <c r="E32" s="60"/>
      <c r="K32" s="60"/>
    </row>
    <row r="33" spans="2:11" ht="15.75" customHeight="1">
      <c r="B33" s="35"/>
      <c r="E33" s="60"/>
      <c r="K33" s="60"/>
    </row>
    <row r="34" spans="2:11" ht="15.75" customHeight="1">
      <c r="B34" s="35"/>
      <c r="E34" s="60"/>
      <c r="K34" s="60"/>
    </row>
    <row r="35" spans="2:11" ht="15.75" customHeight="1">
      <c r="B35" s="35"/>
      <c r="E35" s="60"/>
      <c r="K35" s="60"/>
    </row>
    <row r="36" spans="2:11" ht="15.75" customHeight="1">
      <c r="B36" s="35"/>
      <c r="E36" s="60"/>
      <c r="K36" s="60"/>
    </row>
    <row r="37" spans="2:11" ht="15.75" customHeight="1">
      <c r="B37" s="35"/>
      <c r="E37" s="60"/>
      <c r="K37" s="60"/>
    </row>
    <row r="38" spans="2:11" ht="15.75" customHeight="1">
      <c r="B38" s="35"/>
      <c r="E38" s="60"/>
      <c r="K38" s="60"/>
    </row>
    <row r="39" spans="2:11" ht="15.75" customHeight="1">
      <c r="B39" s="35"/>
      <c r="E39" s="60"/>
      <c r="K39" s="60"/>
    </row>
    <row r="40" spans="2:11" ht="15.75" customHeight="1">
      <c r="B40" s="35"/>
      <c r="E40" s="60"/>
      <c r="K40" s="60"/>
    </row>
    <row r="41" spans="2:11" ht="15.75" customHeight="1">
      <c r="B41" s="35"/>
      <c r="E41" s="60"/>
      <c r="K41" s="60"/>
    </row>
    <row r="42" spans="2:11" ht="15.75" customHeight="1">
      <c r="B42" s="35"/>
      <c r="E42" s="60"/>
      <c r="K42" s="60"/>
    </row>
    <row r="43" spans="2:11" ht="15.75" customHeight="1">
      <c r="B43" s="35"/>
      <c r="E43" s="60"/>
      <c r="K43" s="60"/>
    </row>
    <row r="44" spans="2:11" ht="15.75" customHeight="1">
      <c r="B44" s="35"/>
      <c r="E44" s="60"/>
      <c r="K44" s="60"/>
    </row>
    <row r="45" spans="2:11" ht="15.75" customHeight="1">
      <c r="B45" s="35"/>
      <c r="E45" s="60"/>
      <c r="K45" s="60"/>
    </row>
    <row r="46" spans="2:11" ht="15.75" customHeight="1">
      <c r="B46" s="35"/>
      <c r="E46" s="60"/>
      <c r="K46" s="60"/>
    </row>
    <row r="47" spans="2:11" ht="15.75" customHeight="1">
      <c r="B47" s="35"/>
      <c r="E47" s="60"/>
      <c r="K47" s="60"/>
    </row>
    <row r="48" spans="2:11" ht="15.75" customHeight="1">
      <c r="B48" s="35"/>
      <c r="E48" s="60"/>
      <c r="K48" s="60"/>
    </row>
    <row r="49" spans="2:11" ht="15.75" customHeight="1">
      <c r="B49" s="35"/>
      <c r="E49" s="60"/>
      <c r="K49" s="60"/>
    </row>
    <row r="50" spans="2:11" ht="15.75" customHeight="1">
      <c r="B50" s="35"/>
      <c r="E50" s="60"/>
      <c r="K50" s="60"/>
    </row>
    <row r="51" spans="2:11" ht="15.75" customHeight="1">
      <c r="B51" s="35"/>
      <c r="E51" s="60"/>
      <c r="K51" s="60"/>
    </row>
    <row r="52" spans="2:11" ht="15.75" customHeight="1">
      <c r="B52" s="35"/>
      <c r="E52" s="60"/>
      <c r="K52" s="60"/>
    </row>
    <row r="53" spans="2:11" ht="15.75" customHeight="1">
      <c r="B53" s="35"/>
      <c r="E53" s="60"/>
      <c r="K53" s="60"/>
    </row>
    <row r="54" spans="2:11" ht="15.75" customHeight="1">
      <c r="B54" s="35"/>
      <c r="E54" s="60"/>
      <c r="K54" s="60"/>
    </row>
    <row r="55" spans="2:11" ht="15.75" customHeight="1">
      <c r="B55" s="35"/>
      <c r="E55" s="60"/>
      <c r="K55" s="60"/>
    </row>
    <row r="56" spans="2:11" ht="15.75" customHeight="1">
      <c r="B56" s="35"/>
      <c r="E56" s="60"/>
      <c r="K56" s="60"/>
    </row>
    <row r="57" spans="2:11" ht="15.75" customHeight="1">
      <c r="B57" s="35"/>
      <c r="E57" s="60"/>
      <c r="K57" s="60"/>
    </row>
    <row r="58" spans="2:11" ht="15.75" customHeight="1">
      <c r="B58" s="35"/>
      <c r="E58" s="60"/>
      <c r="K58" s="60"/>
    </row>
    <row r="59" spans="2:11" ht="15.75" customHeight="1">
      <c r="B59" s="35"/>
      <c r="E59" s="60"/>
      <c r="K59" s="60"/>
    </row>
    <row r="60" spans="2:11" ht="15.75" customHeight="1">
      <c r="B60" s="35"/>
      <c r="E60" s="60"/>
      <c r="K60" s="60"/>
    </row>
    <row r="61" spans="2:11" ht="15.75" customHeight="1">
      <c r="B61" s="35"/>
      <c r="E61" s="60"/>
      <c r="K61" s="60"/>
    </row>
    <row r="62" spans="2:11" ht="15.75" customHeight="1">
      <c r="B62" s="35"/>
      <c r="E62" s="60"/>
      <c r="K62" s="60"/>
    </row>
    <row r="63" spans="2:11" ht="15.75" customHeight="1">
      <c r="B63" s="35"/>
      <c r="E63" s="60"/>
      <c r="K63" s="60"/>
    </row>
    <row r="64" spans="2:11" ht="15.75" customHeight="1">
      <c r="B64" s="35"/>
      <c r="E64" s="60"/>
      <c r="K64" s="60"/>
    </row>
    <row r="65" spans="2:11" ht="15.75" customHeight="1">
      <c r="B65" s="35"/>
      <c r="E65" s="60"/>
      <c r="K65" s="60"/>
    </row>
    <row r="66" spans="2:11" ht="15.75" customHeight="1">
      <c r="B66" s="35"/>
      <c r="E66" s="60"/>
      <c r="K66" s="60"/>
    </row>
    <row r="67" spans="2:11" ht="15.75" customHeight="1">
      <c r="B67" s="35"/>
      <c r="E67" s="60"/>
      <c r="K67" s="60"/>
    </row>
    <row r="68" spans="2:11" ht="15.75" customHeight="1">
      <c r="B68" s="35"/>
      <c r="E68" s="60"/>
      <c r="K68" s="60"/>
    </row>
    <row r="69" spans="2:11" ht="15.75" customHeight="1">
      <c r="B69" s="35"/>
      <c r="E69" s="60"/>
      <c r="K69" s="60"/>
    </row>
    <row r="70" spans="2:11" ht="15.75" customHeight="1">
      <c r="B70" s="35"/>
      <c r="E70" s="60"/>
      <c r="K70" s="60"/>
    </row>
    <row r="71" spans="2:11" ht="15.75" customHeight="1">
      <c r="B71" s="35"/>
      <c r="E71" s="60"/>
      <c r="K71" s="60"/>
    </row>
    <row r="72" spans="2:11" ht="15.75" customHeight="1">
      <c r="B72" s="35"/>
      <c r="E72" s="60"/>
      <c r="K72" s="60"/>
    </row>
    <row r="73" spans="2:11" ht="15.75" customHeight="1">
      <c r="B73" s="35"/>
      <c r="E73" s="60"/>
      <c r="K73" s="60"/>
    </row>
    <row r="74" spans="2:11" ht="15.75" customHeight="1">
      <c r="B74" s="35"/>
      <c r="E74" s="60"/>
      <c r="K74" s="60"/>
    </row>
    <row r="75" spans="2:11" ht="15.75" customHeight="1">
      <c r="B75" s="35"/>
      <c r="E75" s="60"/>
      <c r="K75" s="60"/>
    </row>
    <row r="76" spans="2:11" ht="15.75" customHeight="1">
      <c r="B76" s="35"/>
      <c r="E76" s="60"/>
      <c r="K76" s="60"/>
    </row>
    <row r="77" spans="2:11" ht="15.75" customHeight="1">
      <c r="B77" s="35"/>
      <c r="E77" s="60"/>
      <c r="K77" s="60"/>
    </row>
    <row r="78" spans="2:11" ht="15.75" customHeight="1">
      <c r="B78" s="35"/>
      <c r="E78" s="60"/>
      <c r="K78" s="60"/>
    </row>
    <row r="79" spans="2:11" ht="15.75" customHeight="1">
      <c r="B79" s="35"/>
      <c r="E79" s="60"/>
      <c r="K79" s="60"/>
    </row>
    <row r="80" spans="2:11" ht="15.75" customHeight="1">
      <c r="B80" s="35"/>
      <c r="E80" s="60"/>
      <c r="K80" s="60"/>
    </row>
    <row r="81" spans="2:11" ht="15.75" customHeight="1">
      <c r="B81" s="35"/>
      <c r="E81" s="60"/>
      <c r="K81" s="60"/>
    </row>
    <row r="82" spans="2:11" ht="15.75" customHeight="1">
      <c r="B82" s="35"/>
      <c r="E82" s="60"/>
      <c r="K82" s="60"/>
    </row>
    <row r="83" spans="2:11" ht="15.75" customHeight="1">
      <c r="B83" s="35"/>
      <c r="E83" s="60"/>
      <c r="K83" s="60"/>
    </row>
    <row r="84" spans="2:11" ht="15.75" customHeight="1">
      <c r="B84" s="35"/>
      <c r="E84" s="60"/>
      <c r="K84" s="60"/>
    </row>
    <row r="85" spans="2:11" ht="15.75" customHeight="1">
      <c r="B85" s="35"/>
      <c r="E85" s="60"/>
      <c r="K85" s="60"/>
    </row>
    <row r="86" spans="2:11" ht="15.75" customHeight="1">
      <c r="B86" s="35"/>
      <c r="E86" s="60"/>
      <c r="K86" s="60"/>
    </row>
    <row r="87" spans="2:11" ht="15.75" customHeight="1">
      <c r="B87" s="35"/>
      <c r="E87" s="60"/>
      <c r="K87" s="60"/>
    </row>
    <row r="88" spans="2:11" ht="15.75" customHeight="1">
      <c r="B88" s="35"/>
      <c r="E88" s="60"/>
      <c r="K88" s="60"/>
    </row>
    <row r="89" spans="2:11" ht="15.75" customHeight="1">
      <c r="B89" s="35"/>
      <c r="E89" s="60"/>
      <c r="K89" s="60"/>
    </row>
    <row r="90" spans="2:11" ht="15.75" customHeight="1">
      <c r="B90" s="35"/>
      <c r="E90" s="60"/>
      <c r="K90" s="60"/>
    </row>
    <row r="91" spans="2:11" ht="15.75" customHeight="1">
      <c r="B91" s="35"/>
      <c r="E91" s="60"/>
      <c r="K91" s="60"/>
    </row>
    <row r="92" spans="2:11" ht="15.75" customHeight="1">
      <c r="B92" s="35"/>
      <c r="E92" s="60"/>
      <c r="K92" s="60"/>
    </row>
    <row r="93" spans="2:11" ht="15.75" customHeight="1">
      <c r="B93" s="35"/>
      <c r="E93" s="60"/>
      <c r="K93" s="60"/>
    </row>
    <row r="94" spans="2:11" ht="15.75" customHeight="1">
      <c r="B94" s="35"/>
      <c r="E94" s="60"/>
      <c r="K94" s="60"/>
    </row>
    <row r="95" spans="2:11" ht="15.75" customHeight="1">
      <c r="B95" s="35"/>
      <c r="E95" s="60"/>
      <c r="K95" s="60"/>
    </row>
    <row r="96" spans="2:11" ht="15.75" customHeight="1">
      <c r="B96" s="35"/>
      <c r="E96" s="60"/>
      <c r="K96" s="60"/>
    </row>
    <row r="97" spans="2:11" ht="15.75" customHeight="1">
      <c r="B97" s="35"/>
      <c r="E97" s="60"/>
      <c r="K97" s="60"/>
    </row>
    <row r="98" spans="2:11" ht="15.75" customHeight="1">
      <c r="B98" s="35"/>
      <c r="E98" s="60"/>
      <c r="K98" s="60"/>
    </row>
    <row r="99" spans="2:11" ht="15.75" customHeight="1">
      <c r="B99" s="35"/>
      <c r="E99" s="60"/>
      <c r="K99" s="60"/>
    </row>
    <row r="100" spans="2:11" ht="15.75" customHeight="1">
      <c r="B100" s="35"/>
      <c r="E100" s="60"/>
      <c r="K100" s="60"/>
    </row>
    <row r="101" spans="2:11" ht="15.75" customHeight="1">
      <c r="B101" s="35"/>
      <c r="E101" s="60"/>
      <c r="K101" s="60"/>
    </row>
    <row r="102" spans="2:11" ht="15.75" customHeight="1">
      <c r="B102" s="35"/>
      <c r="E102" s="60"/>
      <c r="K102" s="60"/>
    </row>
    <row r="103" spans="2:11" ht="15.75" customHeight="1">
      <c r="B103" s="35"/>
      <c r="E103" s="60"/>
      <c r="K103" s="60"/>
    </row>
    <row r="104" spans="2:11" ht="15.75" customHeight="1">
      <c r="B104" s="35"/>
      <c r="E104" s="60"/>
      <c r="K104" s="60"/>
    </row>
    <row r="105" spans="2:11" ht="15.75" customHeight="1">
      <c r="B105" s="35"/>
      <c r="E105" s="60"/>
      <c r="K105" s="60"/>
    </row>
    <row r="106" spans="2:11" ht="15.75" customHeight="1">
      <c r="B106" s="35"/>
      <c r="E106" s="60"/>
      <c r="K106" s="60"/>
    </row>
    <row r="107" spans="2:11" ht="15.75" customHeight="1">
      <c r="B107" s="35"/>
      <c r="E107" s="60"/>
      <c r="K107" s="60"/>
    </row>
    <row r="108" spans="2:11" ht="15.75" customHeight="1">
      <c r="B108" s="35"/>
      <c r="E108" s="60"/>
      <c r="K108" s="60"/>
    </row>
    <row r="109" spans="2:11" ht="15.75" customHeight="1">
      <c r="B109" s="35"/>
      <c r="E109" s="60"/>
      <c r="K109" s="60"/>
    </row>
    <row r="110" spans="2:11" ht="15.75" customHeight="1">
      <c r="B110" s="35"/>
      <c r="E110" s="60"/>
      <c r="K110" s="60"/>
    </row>
    <row r="111" spans="2:11" ht="15.75" customHeight="1">
      <c r="B111" s="35"/>
      <c r="E111" s="60"/>
      <c r="K111" s="60"/>
    </row>
    <row r="112" spans="2:11" ht="15.75" customHeight="1">
      <c r="B112" s="35"/>
      <c r="E112" s="60"/>
      <c r="K112" s="60"/>
    </row>
    <row r="113" spans="2:11" ht="15.75" customHeight="1">
      <c r="B113" s="35"/>
      <c r="E113" s="60"/>
      <c r="K113" s="60"/>
    </row>
    <row r="114" spans="2:11" ht="15.75" customHeight="1">
      <c r="B114" s="35"/>
      <c r="E114" s="60"/>
      <c r="K114" s="60"/>
    </row>
    <row r="115" spans="2:11" ht="15.75" customHeight="1">
      <c r="B115" s="35"/>
      <c r="E115" s="60"/>
      <c r="K115" s="60"/>
    </row>
    <row r="116" spans="2:11" ht="15.75" customHeight="1">
      <c r="B116" s="35"/>
      <c r="E116" s="60"/>
      <c r="K116" s="60"/>
    </row>
    <row r="117" spans="2:11" ht="15.75" customHeight="1">
      <c r="B117" s="35"/>
      <c r="E117" s="60"/>
      <c r="K117" s="60"/>
    </row>
    <row r="118" spans="2:11" ht="15.75" customHeight="1">
      <c r="B118" s="35"/>
      <c r="E118" s="60"/>
      <c r="K118" s="60"/>
    </row>
    <row r="119" spans="2:11" ht="15.75" customHeight="1">
      <c r="B119" s="35"/>
      <c r="E119" s="60"/>
      <c r="K119" s="60"/>
    </row>
    <row r="120" spans="2:11" ht="15.75" customHeight="1">
      <c r="B120" s="35"/>
      <c r="E120" s="60"/>
      <c r="K120" s="60"/>
    </row>
    <row r="121" spans="2:11" ht="15.75" customHeight="1">
      <c r="B121" s="35"/>
      <c r="E121" s="60"/>
      <c r="K121" s="60"/>
    </row>
    <row r="122" spans="2:11" ht="15.75" customHeight="1">
      <c r="B122" s="35"/>
      <c r="E122" s="60"/>
      <c r="K122" s="60"/>
    </row>
    <row r="123" spans="2:11" ht="15.75" customHeight="1">
      <c r="B123" s="35"/>
      <c r="E123" s="60"/>
      <c r="K123" s="60"/>
    </row>
    <row r="124" spans="2:11" ht="15.75" customHeight="1">
      <c r="B124" s="35"/>
      <c r="E124" s="60"/>
      <c r="K124" s="60"/>
    </row>
    <row r="125" spans="2:11" ht="15.75" customHeight="1">
      <c r="B125" s="35"/>
      <c r="E125" s="60"/>
      <c r="K125" s="60"/>
    </row>
    <row r="126" spans="2:11" ht="15.75" customHeight="1">
      <c r="B126" s="35"/>
      <c r="E126" s="60"/>
      <c r="K126" s="60"/>
    </row>
    <row r="127" spans="2:11" ht="15.75" customHeight="1">
      <c r="B127" s="35"/>
      <c r="E127" s="60"/>
      <c r="K127" s="60"/>
    </row>
    <row r="128" spans="2:11" ht="15.75" customHeight="1">
      <c r="B128" s="35"/>
      <c r="E128" s="60"/>
      <c r="K128" s="60"/>
    </row>
    <row r="129" spans="2:11" ht="15.75" customHeight="1">
      <c r="B129" s="35"/>
      <c r="E129" s="60"/>
      <c r="K129" s="60"/>
    </row>
    <row r="130" spans="2:11" ht="15.75" customHeight="1">
      <c r="B130" s="35"/>
      <c r="E130" s="60"/>
      <c r="K130" s="60"/>
    </row>
    <row r="131" spans="2:11" ht="15.75" customHeight="1">
      <c r="B131" s="35"/>
      <c r="E131" s="60"/>
      <c r="K131" s="60"/>
    </row>
    <row r="132" spans="2:11" ht="15.75" customHeight="1">
      <c r="B132" s="35"/>
      <c r="E132" s="60"/>
      <c r="K132" s="60"/>
    </row>
    <row r="133" spans="2:11" ht="15.75" customHeight="1">
      <c r="B133" s="35"/>
      <c r="E133" s="60"/>
      <c r="K133" s="60"/>
    </row>
    <row r="134" spans="2:11" ht="15.75" customHeight="1">
      <c r="B134" s="35"/>
      <c r="E134" s="60"/>
      <c r="K134" s="60"/>
    </row>
    <row r="135" spans="2:11" ht="15.75" customHeight="1">
      <c r="B135" s="35"/>
      <c r="E135" s="60"/>
      <c r="K135" s="60"/>
    </row>
    <row r="136" spans="2:11" ht="15.75" customHeight="1">
      <c r="B136" s="35"/>
      <c r="E136" s="60"/>
      <c r="K136" s="60"/>
    </row>
    <row r="137" spans="2:11" ht="15.75" customHeight="1">
      <c r="B137" s="35"/>
      <c r="E137" s="60"/>
      <c r="K137" s="60"/>
    </row>
    <row r="138" spans="2:11" ht="15.75" customHeight="1">
      <c r="B138" s="35"/>
      <c r="E138" s="60"/>
      <c r="K138" s="60"/>
    </row>
    <row r="139" spans="2:11" ht="15.75" customHeight="1">
      <c r="B139" s="35"/>
      <c r="E139" s="60"/>
      <c r="K139" s="60"/>
    </row>
    <row r="140" spans="2:11" ht="15.75" customHeight="1">
      <c r="B140" s="35"/>
      <c r="E140" s="60"/>
      <c r="K140" s="60"/>
    </row>
    <row r="141" spans="2:11" ht="15.75" customHeight="1">
      <c r="B141" s="35"/>
      <c r="E141" s="60"/>
      <c r="K141" s="60"/>
    </row>
    <row r="142" spans="2:11" ht="15.75" customHeight="1">
      <c r="B142" s="35"/>
      <c r="E142" s="60"/>
      <c r="K142" s="60"/>
    </row>
    <row r="143" spans="2:11" ht="15.75" customHeight="1">
      <c r="B143" s="35"/>
      <c r="E143" s="60"/>
      <c r="K143" s="60"/>
    </row>
    <row r="144" spans="2:11" ht="15.75" customHeight="1">
      <c r="B144" s="35"/>
      <c r="E144" s="60"/>
      <c r="K144" s="60"/>
    </row>
    <row r="145" spans="2:11" ht="15.75" customHeight="1">
      <c r="B145" s="35"/>
      <c r="E145" s="60"/>
      <c r="K145" s="60"/>
    </row>
    <row r="146" spans="2:11" ht="15.75" customHeight="1">
      <c r="B146" s="35"/>
      <c r="E146" s="60"/>
      <c r="K146" s="60"/>
    </row>
    <row r="147" spans="2:11" ht="15.75" customHeight="1">
      <c r="B147" s="35"/>
      <c r="E147" s="60"/>
      <c r="K147" s="60"/>
    </row>
    <row r="148" spans="2:11" ht="15.75" customHeight="1">
      <c r="B148" s="35"/>
      <c r="E148" s="60"/>
      <c r="K148" s="60"/>
    </row>
    <row r="149" spans="2:11" ht="15.75" customHeight="1">
      <c r="B149" s="35"/>
      <c r="E149" s="60"/>
      <c r="K149" s="60"/>
    </row>
    <row r="150" spans="2:11" ht="15.75" customHeight="1">
      <c r="B150" s="35"/>
      <c r="E150" s="60"/>
      <c r="K150" s="60"/>
    </row>
    <row r="151" spans="2:11" ht="15.75" customHeight="1">
      <c r="B151" s="35"/>
      <c r="E151" s="60"/>
      <c r="K151" s="60"/>
    </row>
    <row r="152" spans="2:11" ht="15.75" customHeight="1">
      <c r="B152" s="35"/>
      <c r="E152" s="60"/>
      <c r="K152" s="60"/>
    </row>
    <row r="153" spans="2:11" ht="15.75" customHeight="1">
      <c r="B153" s="35"/>
      <c r="E153" s="60"/>
      <c r="K153" s="60"/>
    </row>
    <row r="154" spans="2:11" ht="15.75" customHeight="1">
      <c r="B154" s="35"/>
      <c r="E154" s="60"/>
      <c r="K154" s="60"/>
    </row>
    <row r="155" spans="2:11" ht="15.75" customHeight="1">
      <c r="B155" s="35"/>
      <c r="E155" s="60"/>
      <c r="K155" s="60"/>
    </row>
    <row r="156" spans="2:11" ht="15.75" customHeight="1">
      <c r="B156" s="35"/>
      <c r="E156" s="60"/>
      <c r="K156" s="60"/>
    </row>
    <row r="157" spans="2:11" ht="15.75" customHeight="1">
      <c r="B157" s="35"/>
      <c r="E157" s="60"/>
      <c r="K157" s="60"/>
    </row>
    <row r="158" spans="2:11" ht="15.75" customHeight="1">
      <c r="B158" s="35"/>
      <c r="E158" s="60"/>
      <c r="K158" s="60"/>
    </row>
    <row r="159" spans="2:11" ht="15.75" customHeight="1">
      <c r="B159" s="35"/>
      <c r="E159" s="60"/>
      <c r="K159" s="60"/>
    </row>
    <row r="160" spans="2:11" ht="15.75" customHeight="1">
      <c r="B160" s="35"/>
      <c r="E160" s="60"/>
      <c r="K160" s="60"/>
    </row>
    <row r="161" spans="2:11" ht="15.75" customHeight="1">
      <c r="B161" s="35"/>
      <c r="E161" s="60"/>
      <c r="K161" s="60"/>
    </row>
    <row r="162" spans="2:11" ht="15.75" customHeight="1">
      <c r="B162" s="35"/>
      <c r="E162" s="60"/>
      <c r="K162" s="60"/>
    </row>
    <row r="163" spans="2:11" ht="15.75" customHeight="1">
      <c r="B163" s="35"/>
      <c r="E163" s="60"/>
      <c r="K163" s="60"/>
    </row>
    <row r="164" spans="2:11" ht="15.75" customHeight="1">
      <c r="B164" s="35"/>
      <c r="E164" s="60"/>
      <c r="K164" s="60"/>
    </row>
    <row r="165" spans="2:11" ht="15.75" customHeight="1">
      <c r="B165" s="35"/>
      <c r="E165" s="60"/>
      <c r="K165" s="60"/>
    </row>
    <row r="166" spans="2:11" ht="15.75" customHeight="1">
      <c r="B166" s="35"/>
      <c r="E166" s="60"/>
      <c r="K166" s="60"/>
    </row>
    <row r="167" spans="2:11" ht="15.75" customHeight="1">
      <c r="B167" s="35"/>
      <c r="E167" s="60"/>
      <c r="K167" s="60"/>
    </row>
    <row r="168" spans="2:11" ht="15.75" customHeight="1">
      <c r="B168" s="35"/>
      <c r="E168" s="60"/>
      <c r="K168" s="60"/>
    </row>
    <row r="169" spans="2:11" ht="15.75" customHeight="1">
      <c r="B169" s="35"/>
      <c r="E169" s="60"/>
      <c r="K169" s="60"/>
    </row>
    <row r="170" spans="2:11" ht="15.75" customHeight="1">
      <c r="B170" s="35"/>
      <c r="E170" s="60"/>
      <c r="K170" s="60"/>
    </row>
    <row r="171" spans="2:11" ht="15.75" customHeight="1">
      <c r="B171" s="35"/>
      <c r="E171" s="60"/>
      <c r="K171" s="60"/>
    </row>
    <row r="172" spans="2:11" ht="15.75" customHeight="1">
      <c r="B172" s="35"/>
      <c r="E172" s="60"/>
      <c r="K172" s="60"/>
    </row>
    <row r="173" spans="2:11" ht="15.75" customHeight="1">
      <c r="B173" s="35"/>
      <c r="E173" s="60"/>
      <c r="K173" s="60"/>
    </row>
    <row r="174" spans="2:11" ht="15.75" customHeight="1">
      <c r="B174" s="35"/>
      <c r="E174" s="60"/>
      <c r="K174" s="60"/>
    </row>
    <row r="175" spans="2:11" ht="15.75" customHeight="1">
      <c r="B175" s="35"/>
      <c r="E175" s="60"/>
      <c r="K175" s="60"/>
    </row>
    <row r="176" spans="2:11" ht="15.75" customHeight="1">
      <c r="B176" s="35"/>
      <c r="E176" s="60"/>
      <c r="K176" s="60"/>
    </row>
    <row r="177" spans="2:11" ht="15.75" customHeight="1">
      <c r="B177" s="35"/>
      <c r="E177" s="60"/>
      <c r="K177" s="60"/>
    </row>
    <row r="178" spans="2:11" ht="15.75" customHeight="1">
      <c r="B178" s="35"/>
      <c r="E178" s="60"/>
      <c r="K178" s="60"/>
    </row>
    <row r="179" spans="2:11" ht="15.75" customHeight="1">
      <c r="B179" s="35"/>
      <c r="E179" s="60"/>
      <c r="K179" s="60"/>
    </row>
    <row r="180" spans="2:11" ht="15.75" customHeight="1">
      <c r="B180" s="35"/>
      <c r="E180" s="60"/>
      <c r="K180" s="60"/>
    </row>
    <row r="181" spans="2:11" ht="15.75" customHeight="1">
      <c r="B181" s="35"/>
      <c r="E181" s="60"/>
      <c r="K181" s="60"/>
    </row>
    <row r="182" spans="2:11" ht="15.75" customHeight="1">
      <c r="B182" s="35"/>
      <c r="E182" s="60"/>
      <c r="K182" s="60"/>
    </row>
    <row r="183" spans="2:11" ht="15.75" customHeight="1">
      <c r="B183" s="35"/>
      <c r="E183" s="60"/>
      <c r="K183" s="60"/>
    </row>
    <row r="184" spans="2:11" ht="15.75" customHeight="1">
      <c r="B184" s="35"/>
      <c r="E184" s="60"/>
      <c r="K184" s="60"/>
    </row>
    <row r="185" spans="2:11" ht="15.75" customHeight="1">
      <c r="B185" s="35"/>
      <c r="E185" s="60"/>
      <c r="K185" s="60"/>
    </row>
    <row r="186" spans="2:11" ht="15.75" customHeight="1">
      <c r="B186" s="35"/>
      <c r="E186" s="60"/>
      <c r="K186" s="60"/>
    </row>
    <row r="187" spans="2:11" ht="15.75" customHeight="1">
      <c r="B187" s="35"/>
      <c r="E187" s="60"/>
      <c r="K187" s="60"/>
    </row>
    <row r="188" spans="2:11" ht="15.75" customHeight="1">
      <c r="B188" s="35"/>
      <c r="E188" s="60"/>
      <c r="K188" s="60"/>
    </row>
    <row r="189" spans="2:11" ht="15.75" customHeight="1">
      <c r="B189" s="35"/>
      <c r="E189" s="60"/>
      <c r="K189" s="60"/>
    </row>
    <row r="190" spans="2:11" ht="15.75" customHeight="1">
      <c r="B190" s="35"/>
      <c r="E190" s="60"/>
      <c r="K190" s="60"/>
    </row>
    <row r="191" spans="2:11" ht="15.75" customHeight="1">
      <c r="B191" s="35"/>
      <c r="E191" s="60"/>
      <c r="K191" s="60"/>
    </row>
    <row r="192" spans="2:11" ht="15.75" customHeight="1">
      <c r="B192" s="35"/>
      <c r="E192" s="60"/>
      <c r="K192" s="60"/>
    </row>
    <row r="193" spans="2:11" ht="15.75" customHeight="1">
      <c r="B193" s="35"/>
      <c r="E193" s="60"/>
      <c r="K193" s="60"/>
    </row>
    <row r="194" spans="2:11" ht="15.75" customHeight="1">
      <c r="B194" s="35"/>
      <c r="E194" s="60"/>
      <c r="K194" s="60"/>
    </row>
    <row r="195" spans="2:11" ht="15.75" customHeight="1">
      <c r="B195" s="35"/>
      <c r="E195" s="60"/>
      <c r="K195" s="60"/>
    </row>
    <row r="196" spans="2:11" ht="15.75" customHeight="1">
      <c r="B196" s="35"/>
      <c r="E196" s="60"/>
      <c r="K196" s="60"/>
    </row>
    <row r="197" spans="2:11" ht="15.75" customHeight="1">
      <c r="B197" s="35"/>
      <c r="E197" s="60"/>
      <c r="K197" s="60"/>
    </row>
    <row r="198" spans="2:11" ht="15.75" customHeight="1">
      <c r="B198" s="35"/>
      <c r="E198" s="60"/>
      <c r="K198" s="60"/>
    </row>
    <row r="199" spans="2:11" ht="15.75" customHeight="1">
      <c r="B199" s="35"/>
      <c r="E199" s="60"/>
      <c r="K199" s="60"/>
    </row>
    <row r="200" spans="2:11" ht="15.75" customHeight="1">
      <c r="B200" s="35"/>
      <c r="E200" s="60"/>
      <c r="K200" s="60"/>
    </row>
    <row r="201" spans="2:11" ht="15.75" customHeight="1">
      <c r="B201" s="35"/>
    </row>
    <row r="202" spans="2:11" ht="15.75" customHeight="1">
      <c r="B202" s="35"/>
    </row>
    <row r="203" spans="2:11" ht="15.75" customHeight="1">
      <c r="B203" s="35"/>
    </row>
    <row r="204" spans="2:11" ht="15.75" customHeight="1">
      <c r="B204" s="35"/>
    </row>
    <row r="205" spans="2:11" ht="15.75" customHeight="1">
      <c r="B205" s="35"/>
    </row>
    <row r="206" spans="2:11" ht="15.75" customHeight="1">
      <c r="B206" s="35"/>
    </row>
    <row r="207" spans="2:11" ht="15.75" customHeight="1">
      <c r="B207" s="35"/>
    </row>
    <row r="208" spans="2:11" ht="15.75" customHeight="1">
      <c r="B208" s="35"/>
    </row>
    <row r="209" spans="2:2" ht="15.75" customHeight="1">
      <c r="B209" s="35"/>
    </row>
    <row r="210" spans="2:2" ht="15.75" customHeight="1">
      <c r="B210" s="35"/>
    </row>
    <row r="211" spans="2:2" ht="15.75" customHeight="1">
      <c r="B211" s="35"/>
    </row>
    <row r="212" spans="2:2" ht="15.75" customHeight="1">
      <c r="B212" s="35"/>
    </row>
    <row r="213" spans="2:2" ht="15.75" customHeight="1">
      <c r="B213" s="35"/>
    </row>
    <row r="214" spans="2:2" ht="15.75" customHeight="1">
      <c r="B214" s="35"/>
    </row>
    <row r="215" spans="2:2" ht="15.75" customHeight="1">
      <c r="B215" s="35"/>
    </row>
    <row r="216" spans="2:2" ht="15.75" customHeight="1">
      <c r="B216" s="35"/>
    </row>
    <row r="217" spans="2:2" ht="15.75" customHeight="1">
      <c r="B217" s="35"/>
    </row>
    <row r="218" spans="2:2" ht="15.75" customHeight="1">
      <c r="B218" s="35"/>
    </row>
    <row r="219" spans="2:2" ht="15.75" customHeight="1">
      <c r="B219" s="35"/>
    </row>
    <row r="220" spans="2:2" ht="15.75" customHeight="1">
      <c r="B220" s="35"/>
    </row>
    <row r="221" spans="2:2" ht="15.75" customHeight="1">
      <c r="B221" s="35"/>
    </row>
    <row r="222" spans="2:2" ht="15.75" customHeight="1">
      <c r="B222" s="35"/>
    </row>
    <row r="223" spans="2:2" ht="15.75" customHeight="1">
      <c r="B223" s="35"/>
    </row>
    <row r="224" spans="2:2" ht="15.75" customHeight="1">
      <c r="B224" s="35"/>
    </row>
    <row r="225" spans="2:2" ht="15.75" customHeight="1">
      <c r="B225" s="35"/>
    </row>
    <row r="226" spans="2:2" ht="15.75" customHeight="1">
      <c r="B226" s="35"/>
    </row>
    <row r="227" spans="2:2" ht="15.75" customHeight="1">
      <c r="B227" s="35"/>
    </row>
    <row r="228" spans="2:2" ht="15.75" customHeight="1">
      <c r="B228" s="35"/>
    </row>
    <row r="229" spans="2:2" ht="15.75" customHeight="1">
      <c r="B229" s="35"/>
    </row>
    <row r="230" spans="2:2" ht="15.75" customHeight="1">
      <c r="B230" s="35"/>
    </row>
    <row r="231" spans="2:2" ht="15.75" customHeight="1">
      <c r="B231" s="35"/>
    </row>
    <row r="232" spans="2:2" ht="15.75" customHeight="1">
      <c r="B232" s="35"/>
    </row>
    <row r="233" spans="2:2" ht="15.75" customHeight="1">
      <c r="B233" s="35"/>
    </row>
    <row r="234" spans="2:2" ht="15.75" customHeight="1">
      <c r="B234" s="35"/>
    </row>
    <row r="235" spans="2:2" ht="15.75" customHeight="1">
      <c r="B235" s="35"/>
    </row>
    <row r="236" spans="2:2" ht="15.75" customHeight="1">
      <c r="B236" s="35"/>
    </row>
    <row r="237" spans="2:2" ht="15.75" customHeight="1">
      <c r="B237" s="35"/>
    </row>
    <row r="238" spans="2:2" ht="15.75" customHeight="1">
      <c r="B238" s="35"/>
    </row>
    <row r="239" spans="2:2" ht="15.75" customHeight="1">
      <c r="B239" s="35"/>
    </row>
    <row r="240" spans="2:2" ht="15.75" customHeight="1">
      <c r="B240" s="35"/>
    </row>
    <row r="241" spans="2:2" ht="15.75" customHeight="1">
      <c r="B241" s="35"/>
    </row>
    <row r="242" spans="2:2" ht="15.75" customHeight="1">
      <c r="B242" s="35"/>
    </row>
    <row r="243" spans="2:2" ht="15.75" customHeight="1">
      <c r="B243" s="35"/>
    </row>
    <row r="244" spans="2:2" ht="15.75" customHeight="1">
      <c r="B244" s="35"/>
    </row>
    <row r="245" spans="2:2" ht="15.75" customHeight="1">
      <c r="B245" s="35"/>
    </row>
    <row r="246" spans="2:2" ht="15.75" customHeight="1">
      <c r="B246" s="35"/>
    </row>
    <row r="247" spans="2:2" ht="15.75" customHeight="1">
      <c r="B247" s="35"/>
    </row>
    <row r="248" spans="2:2" ht="15.75" customHeight="1">
      <c r="B248" s="35"/>
    </row>
    <row r="249" spans="2:2" ht="15.75" customHeight="1">
      <c r="B249" s="35"/>
    </row>
    <row r="250" spans="2:2" ht="15.75" customHeight="1">
      <c r="B250" s="35"/>
    </row>
    <row r="251" spans="2:2" ht="15.75" customHeight="1">
      <c r="B251" s="35"/>
    </row>
    <row r="252" spans="2:2" ht="15.75" customHeight="1">
      <c r="B252" s="35"/>
    </row>
    <row r="253" spans="2:2" ht="15.75" customHeight="1">
      <c r="B253" s="35"/>
    </row>
    <row r="254" spans="2:2" ht="15.75" customHeight="1">
      <c r="B254" s="35"/>
    </row>
    <row r="255" spans="2:2" ht="15.75" customHeight="1">
      <c r="B255" s="35"/>
    </row>
    <row r="256" spans="2:2" ht="15.75" customHeight="1">
      <c r="B256" s="35"/>
    </row>
    <row r="257" spans="2:2" ht="15.75" customHeight="1">
      <c r="B257" s="35"/>
    </row>
    <row r="258" spans="2:2" ht="15.75" customHeight="1">
      <c r="B258" s="35"/>
    </row>
    <row r="259" spans="2:2" ht="15.75" customHeight="1">
      <c r="B259" s="35"/>
    </row>
    <row r="260" spans="2:2" ht="15.75" customHeight="1">
      <c r="B260" s="35"/>
    </row>
    <row r="261" spans="2:2" ht="15.75" customHeight="1">
      <c r="B261" s="35"/>
    </row>
    <row r="262" spans="2:2" ht="15.75" customHeight="1">
      <c r="B262" s="35"/>
    </row>
    <row r="263" spans="2:2" ht="15.75" customHeight="1">
      <c r="B263" s="35"/>
    </row>
    <row r="264" spans="2:2" ht="15.75" customHeight="1">
      <c r="B264" s="35"/>
    </row>
    <row r="265" spans="2:2" ht="15.75" customHeight="1">
      <c r="B265" s="35"/>
    </row>
    <row r="266" spans="2:2" ht="15.75" customHeight="1">
      <c r="B266" s="35"/>
    </row>
    <row r="267" spans="2:2" ht="15.75" customHeight="1">
      <c r="B267" s="35"/>
    </row>
    <row r="268" spans="2:2" ht="15.75" customHeight="1">
      <c r="B268" s="35"/>
    </row>
    <row r="269" spans="2:2" ht="15.75" customHeight="1">
      <c r="B269" s="35"/>
    </row>
    <row r="270" spans="2:2" ht="15.75" customHeight="1">
      <c r="B270" s="35"/>
    </row>
    <row r="271" spans="2:2" ht="15.75" customHeight="1">
      <c r="B271" s="35"/>
    </row>
    <row r="272" spans="2:2" ht="15.75" customHeight="1">
      <c r="B272" s="35"/>
    </row>
    <row r="273" spans="2:2" ht="15.75" customHeight="1">
      <c r="B273" s="35"/>
    </row>
    <row r="274" spans="2:2" ht="15.75" customHeight="1">
      <c r="B274" s="35"/>
    </row>
    <row r="275" spans="2:2" ht="15.75" customHeight="1">
      <c r="B275" s="35"/>
    </row>
    <row r="276" spans="2:2" ht="15.75" customHeight="1">
      <c r="B276" s="35"/>
    </row>
    <row r="277" spans="2:2" ht="15.75" customHeight="1">
      <c r="B277" s="35"/>
    </row>
    <row r="278" spans="2:2" ht="15.75" customHeight="1">
      <c r="B278" s="35"/>
    </row>
    <row r="279" spans="2:2" ht="15.75" customHeight="1">
      <c r="B279" s="35"/>
    </row>
    <row r="280" spans="2:2" ht="15.75" customHeight="1">
      <c r="B280" s="35"/>
    </row>
    <row r="281" spans="2:2" ht="15.75" customHeight="1">
      <c r="B281" s="35"/>
    </row>
    <row r="282" spans="2:2" ht="15.75" customHeight="1">
      <c r="B282" s="35"/>
    </row>
    <row r="283" spans="2:2" ht="15.75" customHeight="1">
      <c r="B283" s="35"/>
    </row>
    <row r="284" spans="2:2" ht="15.75" customHeight="1">
      <c r="B284" s="35"/>
    </row>
    <row r="285" spans="2:2" ht="15.75" customHeight="1">
      <c r="B285" s="35"/>
    </row>
    <row r="286" spans="2:2" ht="15.75" customHeight="1">
      <c r="B286" s="35"/>
    </row>
    <row r="287" spans="2:2" ht="15.75" customHeight="1">
      <c r="B287" s="35"/>
    </row>
    <row r="288" spans="2:2" ht="15.75" customHeight="1">
      <c r="B288" s="35"/>
    </row>
    <row r="289" spans="2:2" ht="15.75" customHeight="1">
      <c r="B289" s="35"/>
    </row>
    <row r="290" spans="2:2" ht="15.75" customHeight="1">
      <c r="B290" s="35"/>
    </row>
    <row r="291" spans="2:2" ht="15.75" customHeight="1">
      <c r="B291" s="35"/>
    </row>
    <row r="292" spans="2:2" ht="15.75" customHeight="1">
      <c r="B292" s="35"/>
    </row>
    <row r="293" spans="2:2" ht="15.75" customHeight="1">
      <c r="B293" s="35"/>
    </row>
    <row r="294" spans="2:2" ht="15.75" customHeight="1">
      <c r="B294" s="35"/>
    </row>
    <row r="295" spans="2:2" ht="15.75" customHeight="1">
      <c r="B295" s="35"/>
    </row>
    <row r="296" spans="2:2" ht="15.75" customHeight="1">
      <c r="B296" s="35"/>
    </row>
    <row r="297" spans="2:2" ht="15.75" customHeight="1">
      <c r="B297" s="35"/>
    </row>
    <row r="298" spans="2:2" ht="15.75" customHeight="1">
      <c r="B298" s="35"/>
    </row>
    <row r="299" spans="2:2" ht="15.75" customHeight="1">
      <c r="B299" s="35"/>
    </row>
    <row r="300" spans="2:2" ht="15.75" customHeight="1">
      <c r="B300" s="35"/>
    </row>
    <row r="301" spans="2:2" ht="15.75" customHeight="1">
      <c r="B301" s="35"/>
    </row>
    <row r="302" spans="2:2" ht="15.75" customHeight="1">
      <c r="B302" s="35"/>
    </row>
    <row r="303" spans="2:2" ht="15.75" customHeight="1">
      <c r="B303" s="35"/>
    </row>
    <row r="304" spans="2:2" ht="15.75" customHeight="1">
      <c r="B304" s="35"/>
    </row>
    <row r="305" spans="2:2" ht="15.75" customHeight="1">
      <c r="B305" s="35"/>
    </row>
    <row r="306" spans="2:2" ht="15.75" customHeight="1">
      <c r="B306" s="35"/>
    </row>
    <row r="307" spans="2:2" ht="15.75" customHeight="1">
      <c r="B307" s="35"/>
    </row>
    <row r="308" spans="2:2" ht="15.75" customHeight="1">
      <c r="B308" s="35"/>
    </row>
    <row r="309" spans="2:2" ht="15.75" customHeight="1">
      <c r="B309" s="35"/>
    </row>
    <row r="310" spans="2:2" ht="15.75" customHeight="1">
      <c r="B310" s="35"/>
    </row>
    <row r="311" spans="2:2" ht="15.75" customHeight="1">
      <c r="B311" s="35"/>
    </row>
    <row r="312" spans="2:2" ht="15.75" customHeight="1">
      <c r="B312" s="35"/>
    </row>
    <row r="313" spans="2:2" ht="15.75" customHeight="1">
      <c r="B313" s="35"/>
    </row>
    <row r="314" spans="2:2" ht="15.75" customHeight="1">
      <c r="B314" s="35"/>
    </row>
    <row r="315" spans="2:2" ht="15.75" customHeight="1">
      <c r="B315" s="35"/>
    </row>
    <row r="316" spans="2:2" ht="15.75" customHeight="1">
      <c r="B316" s="35"/>
    </row>
    <row r="317" spans="2:2" ht="15.75" customHeight="1">
      <c r="B317" s="35"/>
    </row>
    <row r="318" spans="2:2" ht="15.75" customHeight="1">
      <c r="B318" s="35"/>
    </row>
    <row r="319" spans="2:2" ht="15.75" customHeight="1">
      <c r="B319" s="35"/>
    </row>
    <row r="320" spans="2:2" ht="15.75" customHeight="1">
      <c r="B320" s="35"/>
    </row>
    <row r="321" spans="2:2" ht="15.75" customHeight="1">
      <c r="B321" s="35"/>
    </row>
    <row r="322" spans="2:2" ht="15.75" customHeight="1">
      <c r="B322" s="35"/>
    </row>
    <row r="323" spans="2:2" ht="15.75" customHeight="1">
      <c r="B323" s="35"/>
    </row>
    <row r="324" spans="2:2" ht="15.75" customHeight="1">
      <c r="B324" s="35"/>
    </row>
    <row r="325" spans="2:2" ht="15.75" customHeight="1">
      <c r="B325" s="35"/>
    </row>
    <row r="326" spans="2:2" ht="15.75" customHeight="1">
      <c r="B326" s="35"/>
    </row>
    <row r="327" spans="2:2" ht="15.75" customHeight="1">
      <c r="B327" s="35"/>
    </row>
    <row r="328" spans="2:2" ht="15.75" customHeight="1">
      <c r="B328" s="35"/>
    </row>
    <row r="329" spans="2:2" ht="15.75" customHeight="1">
      <c r="B329" s="35"/>
    </row>
    <row r="330" spans="2:2" ht="15.75" customHeight="1">
      <c r="B330" s="35"/>
    </row>
    <row r="331" spans="2:2" ht="15.75" customHeight="1">
      <c r="B331" s="35"/>
    </row>
    <row r="332" spans="2:2" ht="15.75" customHeight="1">
      <c r="B332" s="35"/>
    </row>
    <row r="333" spans="2:2" ht="15.75" customHeight="1">
      <c r="B333" s="35"/>
    </row>
    <row r="334" spans="2:2" ht="15.75" customHeight="1">
      <c r="B334" s="35"/>
    </row>
    <row r="335" spans="2:2" ht="15.75" customHeight="1">
      <c r="B335" s="35"/>
    </row>
    <row r="336" spans="2:2" ht="15.75" customHeight="1">
      <c r="B336" s="35"/>
    </row>
    <row r="337" spans="2:2" ht="15.75" customHeight="1">
      <c r="B337" s="35"/>
    </row>
    <row r="338" spans="2:2" ht="15.75" customHeight="1">
      <c r="B338" s="35"/>
    </row>
    <row r="339" spans="2:2" ht="15.75" customHeight="1">
      <c r="B339" s="35"/>
    </row>
    <row r="340" spans="2:2" ht="15.75" customHeight="1">
      <c r="B340" s="35"/>
    </row>
    <row r="341" spans="2:2" ht="15.75" customHeight="1">
      <c r="B341" s="35"/>
    </row>
    <row r="342" spans="2:2" ht="15.75" customHeight="1">
      <c r="B342" s="35"/>
    </row>
    <row r="343" spans="2:2" ht="15.75" customHeight="1">
      <c r="B343" s="35"/>
    </row>
    <row r="344" spans="2:2" ht="15.75" customHeight="1">
      <c r="B344" s="35"/>
    </row>
    <row r="345" spans="2:2" ht="15.75" customHeight="1">
      <c r="B345" s="35"/>
    </row>
    <row r="346" spans="2:2" ht="15.75" customHeight="1">
      <c r="B346" s="35"/>
    </row>
    <row r="347" spans="2:2" ht="15.75" customHeight="1">
      <c r="B347" s="35"/>
    </row>
    <row r="348" spans="2:2" ht="15.75" customHeight="1">
      <c r="B348" s="35"/>
    </row>
    <row r="349" spans="2:2" ht="15.75" customHeight="1">
      <c r="B349" s="35"/>
    </row>
    <row r="350" spans="2:2" ht="15.75" customHeight="1">
      <c r="B350" s="35"/>
    </row>
    <row r="351" spans="2:2" ht="15.75" customHeight="1">
      <c r="B351" s="35"/>
    </row>
    <row r="352" spans="2:2" ht="15.75" customHeight="1">
      <c r="B352" s="35"/>
    </row>
    <row r="353" spans="2:2" ht="15.75" customHeight="1">
      <c r="B353" s="35"/>
    </row>
    <row r="354" spans="2:2" ht="15.75" customHeight="1">
      <c r="B354" s="35"/>
    </row>
    <row r="355" spans="2:2" ht="15.75" customHeight="1">
      <c r="B355" s="35"/>
    </row>
    <row r="356" spans="2:2" ht="15.75" customHeight="1">
      <c r="B356" s="35"/>
    </row>
    <row r="357" spans="2:2" ht="15.75" customHeight="1">
      <c r="B357" s="35"/>
    </row>
    <row r="358" spans="2:2" ht="15.75" customHeight="1">
      <c r="B358" s="35"/>
    </row>
    <row r="359" spans="2:2" ht="15.75" customHeight="1">
      <c r="B359" s="35"/>
    </row>
    <row r="360" spans="2:2" ht="15.75" customHeight="1">
      <c r="B360" s="35"/>
    </row>
    <row r="361" spans="2:2" ht="15.75" customHeight="1">
      <c r="B361" s="35"/>
    </row>
    <row r="362" spans="2:2" ht="15.75" customHeight="1">
      <c r="B362" s="35"/>
    </row>
    <row r="363" spans="2:2" ht="15.75" customHeight="1">
      <c r="B363" s="35"/>
    </row>
    <row r="364" spans="2:2" ht="15.75" customHeight="1">
      <c r="B364" s="35"/>
    </row>
    <row r="365" spans="2:2" ht="15.75" customHeight="1">
      <c r="B365" s="35"/>
    </row>
    <row r="366" spans="2:2" ht="15.75" customHeight="1">
      <c r="B366" s="35"/>
    </row>
    <row r="367" spans="2:2" ht="15.75" customHeight="1">
      <c r="B367" s="35"/>
    </row>
    <row r="368" spans="2:2" ht="15.75" customHeight="1">
      <c r="B368" s="35"/>
    </row>
    <row r="369" spans="2:2" ht="15.75" customHeight="1">
      <c r="B369" s="35"/>
    </row>
    <row r="370" spans="2:2" ht="15.75" customHeight="1">
      <c r="B370" s="35"/>
    </row>
    <row r="371" spans="2:2" ht="15.75" customHeight="1">
      <c r="B371" s="35"/>
    </row>
    <row r="372" spans="2:2" ht="15.75" customHeight="1">
      <c r="B372" s="35"/>
    </row>
    <row r="373" spans="2:2" ht="15.75" customHeight="1">
      <c r="B373" s="35"/>
    </row>
    <row r="374" spans="2:2" ht="15.75" customHeight="1">
      <c r="B374" s="35"/>
    </row>
    <row r="375" spans="2:2" ht="15.75" customHeight="1">
      <c r="B375" s="35"/>
    </row>
    <row r="376" spans="2:2" ht="15.75" customHeight="1">
      <c r="B376" s="35"/>
    </row>
    <row r="377" spans="2:2" ht="15.75" customHeight="1">
      <c r="B377" s="35"/>
    </row>
    <row r="378" spans="2:2" ht="15.75" customHeight="1">
      <c r="B378" s="35"/>
    </row>
    <row r="379" spans="2:2" ht="15.75" customHeight="1">
      <c r="B379" s="35"/>
    </row>
    <row r="380" spans="2:2" ht="15.75" customHeight="1">
      <c r="B380" s="35"/>
    </row>
    <row r="381" spans="2:2" ht="15.75" customHeight="1">
      <c r="B381" s="35"/>
    </row>
    <row r="382" spans="2:2" ht="15.75" customHeight="1">
      <c r="B382" s="35"/>
    </row>
    <row r="383" spans="2:2" ht="15.75" customHeight="1">
      <c r="B383" s="35"/>
    </row>
    <row r="384" spans="2:2" ht="15.75" customHeight="1">
      <c r="B384" s="35"/>
    </row>
    <row r="385" spans="2:2" ht="15.75" customHeight="1">
      <c r="B385" s="35"/>
    </row>
    <row r="386" spans="2:2" ht="15.75" customHeight="1">
      <c r="B386" s="35"/>
    </row>
    <row r="387" spans="2:2" ht="15.75" customHeight="1">
      <c r="B387" s="35"/>
    </row>
    <row r="388" spans="2:2" ht="15.75" customHeight="1">
      <c r="B388" s="35"/>
    </row>
    <row r="389" spans="2:2" ht="15.75" customHeight="1">
      <c r="B389" s="35"/>
    </row>
    <row r="390" spans="2:2" ht="15.75" customHeight="1">
      <c r="B390" s="35"/>
    </row>
    <row r="391" spans="2:2" ht="15.75" customHeight="1">
      <c r="B391" s="35"/>
    </row>
    <row r="392" spans="2:2" ht="15.75" customHeight="1">
      <c r="B392" s="35"/>
    </row>
    <row r="393" spans="2:2" ht="15.75" customHeight="1">
      <c r="B393" s="35"/>
    </row>
    <row r="394" spans="2:2" ht="15.75" customHeight="1">
      <c r="B394" s="35"/>
    </row>
    <row r="395" spans="2:2" ht="15.75" customHeight="1">
      <c r="B395" s="35"/>
    </row>
    <row r="396" spans="2:2" ht="15.75" customHeight="1">
      <c r="B396" s="35"/>
    </row>
    <row r="397" spans="2:2" ht="15.75" customHeight="1">
      <c r="B397" s="35"/>
    </row>
    <row r="398" spans="2:2" ht="15.75" customHeight="1">
      <c r="B398" s="35"/>
    </row>
    <row r="399" spans="2:2" ht="15.75" customHeight="1">
      <c r="B399" s="35"/>
    </row>
    <row r="400" spans="2:2" ht="15.75" customHeight="1">
      <c r="B400" s="35"/>
    </row>
    <row r="401" spans="2:2" ht="15.75" customHeight="1">
      <c r="B401" s="35"/>
    </row>
    <row r="402" spans="2:2" ht="15.75" customHeight="1">
      <c r="B402" s="35"/>
    </row>
    <row r="403" spans="2:2" ht="15.75" customHeight="1">
      <c r="B403" s="35"/>
    </row>
    <row r="404" spans="2:2" ht="15.75" customHeight="1">
      <c r="B404" s="35"/>
    </row>
    <row r="405" spans="2:2" ht="15.75" customHeight="1">
      <c r="B405" s="35"/>
    </row>
    <row r="406" spans="2:2" ht="15.75" customHeight="1">
      <c r="B406" s="35"/>
    </row>
    <row r="407" spans="2:2" ht="15.75" customHeight="1">
      <c r="B407" s="35"/>
    </row>
    <row r="408" spans="2:2" ht="15.75" customHeight="1">
      <c r="B408" s="35"/>
    </row>
    <row r="409" spans="2:2" ht="15.75" customHeight="1">
      <c r="B409" s="35"/>
    </row>
    <row r="410" spans="2:2" ht="15.75" customHeight="1">
      <c r="B410" s="35"/>
    </row>
    <row r="411" spans="2:2" ht="15.75" customHeight="1">
      <c r="B411" s="35"/>
    </row>
    <row r="412" spans="2:2" ht="15.75" customHeight="1">
      <c r="B412" s="35"/>
    </row>
    <row r="413" spans="2:2" ht="15.75" customHeight="1">
      <c r="B413" s="35"/>
    </row>
    <row r="414" spans="2:2" ht="15.75" customHeight="1">
      <c r="B414" s="35"/>
    </row>
    <row r="415" spans="2:2" ht="15.75" customHeight="1">
      <c r="B415" s="35"/>
    </row>
    <row r="416" spans="2:2" ht="15.75" customHeight="1">
      <c r="B416" s="35"/>
    </row>
    <row r="417" spans="2:2" ht="15.75" customHeight="1">
      <c r="B417" s="35"/>
    </row>
    <row r="418" spans="2:2" ht="15.75" customHeight="1">
      <c r="B418" s="35"/>
    </row>
    <row r="419" spans="2:2" ht="15.75" customHeight="1">
      <c r="B419" s="35"/>
    </row>
    <row r="420" spans="2:2" ht="15.75" customHeight="1">
      <c r="B420" s="35"/>
    </row>
    <row r="421" spans="2:2" ht="15.75" customHeight="1">
      <c r="B421" s="35"/>
    </row>
    <row r="422" spans="2:2" ht="15.75" customHeight="1">
      <c r="B422" s="35"/>
    </row>
    <row r="423" spans="2:2" ht="15.75" customHeight="1">
      <c r="B423" s="35"/>
    </row>
    <row r="424" spans="2:2" ht="15.75" customHeight="1">
      <c r="B424" s="35"/>
    </row>
    <row r="425" spans="2:2" ht="15.75" customHeight="1">
      <c r="B425" s="35"/>
    </row>
    <row r="426" spans="2:2" ht="15.75" customHeight="1">
      <c r="B426" s="35"/>
    </row>
    <row r="427" spans="2:2" ht="15.75" customHeight="1">
      <c r="B427" s="35"/>
    </row>
    <row r="428" spans="2:2" ht="15.75" customHeight="1">
      <c r="B428" s="35"/>
    </row>
    <row r="429" spans="2:2" ht="15.75" customHeight="1">
      <c r="B429" s="35"/>
    </row>
    <row r="430" spans="2:2" ht="15.75" customHeight="1">
      <c r="B430" s="35"/>
    </row>
    <row r="431" spans="2:2" ht="15.75" customHeight="1">
      <c r="B431" s="35"/>
    </row>
    <row r="432" spans="2:2" ht="15.75" customHeight="1">
      <c r="B432" s="35"/>
    </row>
    <row r="433" spans="2:2" ht="15.75" customHeight="1">
      <c r="B433" s="35"/>
    </row>
    <row r="434" spans="2:2" ht="15.75" customHeight="1">
      <c r="B434" s="35"/>
    </row>
    <row r="435" spans="2:2" ht="15.75" customHeight="1">
      <c r="B435" s="35"/>
    </row>
    <row r="436" spans="2:2" ht="15.75" customHeight="1">
      <c r="B436" s="35"/>
    </row>
    <row r="437" spans="2:2" ht="15.75" customHeight="1">
      <c r="B437" s="35"/>
    </row>
    <row r="438" spans="2:2" ht="15.75" customHeight="1">
      <c r="B438" s="35"/>
    </row>
    <row r="439" spans="2:2" ht="15.75" customHeight="1">
      <c r="B439" s="35"/>
    </row>
    <row r="440" spans="2:2" ht="15.75" customHeight="1">
      <c r="B440" s="35"/>
    </row>
    <row r="441" spans="2:2" ht="15.75" customHeight="1">
      <c r="B441" s="35"/>
    </row>
    <row r="442" spans="2:2" ht="15.75" customHeight="1">
      <c r="B442" s="35"/>
    </row>
    <row r="443" spans="2:2" ht="15.75" customHeight="1">
      <c r="B443" s="35"/>
    </row>
    <row r="444" spans="2:2" ht="15.75" customHeight="1">
      <c r="B444" s="35"/>
    </row>
    <row r="445" spans="2:2" ht="15.75" customHeight="1">
      <c r="B445" s="35"/>
    </row>
    <row r="446" spans="2:2" ht="15.75" customHeight="1">
      <c r="B446" s="35"/>
    </row>
    <row r="447" spans="2:2" ht="15.75" customHeight="1">
      <c r="B447" s="35"/>
    </row>
    <row r="448" spans="2:2" ht="15.75" customHeight="1">
      <c r="B448" s="35"/>
    </row>
    <row r="449" spans="2:2" ht="15.75" customHeight="1">
      <c r="B449" s="35"/>
    </row>
    <row r="450" spans="2:2" ht="15.75" customHeight="1">
      <c r="B450" s="35"/>
    </row>
    <row r="451" spans="2:2" ht="15.75" customHeight="1">
      <c r="B451" s="35"/>
    </row>
    <row r="452" spans="2:2" ht="15.75" customHeight="1">
      <c r="B452" s="35"/>
    </row>
    <row r="453" spans="2:2" ht="15.75" customHeight="1">
      <c r="B453" s="35"/>
    </row>
    <row r="454" spans="2:2" ht="15.75" customHeight="1">
      <c r="B454" s="35"/>
    </row>
    <row r="455" spans="2:2" ht="15.75" customHeight="1">
      <c r="B455" s="35"/>
    </row>
    <row r="456" spans="2:2" ht="15.75" customHeight="1">
      <c r="B456" s="35"/>
    </row>
    <row r="457" spans="2:2" ht="15.75" customHeight="1">
      <c r="B457" s="35"/>
    </row>
    <row r="458" spans="2:2" ht="15.75" customHeight="1">
      <c r="B458" s="35"/>
    </row>
    <row r="459" spans="2:2" ht="15.75" customHeight="1">
      <c r="B459" s="35"/>
    </row>
    <row r="460" spans="2:2" ht="15.75" customHeight="1">
      <c r="B460" s="35"/>
    </row>
    <row r="461" spans="2:2" ht="15.75" customHeight="1">
      <c r="B461" s="35"/>
    </row>
    <row r="462" spans="2:2" ht="15.75" customHeight="1">
      <c r="B462" s="35"/>
    </row>
    <row r="463" spans="2:2" ht="15.75" customHeight="1">
      <c r="B463" s="35"/>
    </row>
    <row r="464" spans="2:2" ht="15.75" customHeight="1">
      <c r="B464" s="35"/>
    </row>
    <row r="465" spans="2:2" ht="15.75" customHeight="1">
      <c r="B465" s="35"/>
    </row>
    <row r="466" spans="2:2" ht="15.75" customHeight="1">
      <c r="B466" s="35"/>
    </row>
    <row r="467" spans="2:2" ht="15.75" customHeight="1">
      <c r="B467" s="35"/>
    </row>
    <row r="468" spans="2:2" ht="15.75" customHeight="1">
      <c r="B468" s="35"/>
    </row>
    <row r="469" spans="2:2" ht="15.75" customHeight="1">
      <c r="B469" s="35"/>
    </row>
    <row r="470" spans="2:2" ht="15.75" customHeight="1">
      <c r="B470" s="35"/>
    </row>
    <row r="471" spans="2:2" ht="15.75" customHeight="1">
      <c r="B471" s="35"/>
    </row>
    <row r="472" spans="2:2" ht="15.75" customHeight="1">
      <c r="B472" s="35"/>
    </row>
    <row r="473" spans="2:2" ht="15.75" customHeight="1">
      <c r="B473" s="35"/>
    </row>
    <row r="474" spans="2:2" ht="15.75" customHeight="1">
      <c r="B474" s="35"/>
    </row>
    <row r="475" spans="2:2" ht="15.75" customHeight="1">
      <c r="B475" s="35"/>
    </row>
    <row r="476" spans="2:2" ht="15.75" customHeight="1">
      <c r="B476" s="35"/>
    </row>
    <row r="477" spans="2:2" ht="15.75" customHeight="1">
      <c r="B477" s="35"/>
    </row>
    <row r="478" spans="2:2" ht="15.75" customHeight="1">
      <c r="B478" s="35"/>
    </row>
    <row r="479" spans="2:2" ht="15.75" customHeight="1">
      <c r="B479" s="35"/>
    </row>
    <row r="480" spans="2:2" ht="15.75" customHeight="1">
      <c r="B480" s="35"/>
    </row>
    <row r="481" spans="2:2" ht="15.75" customHeight="1">
      <c r="B481" s="35"/>
    </row>
    <row r="482" spans="2:2" ht="15.75" customHeight="1">
      <c r="B482" s="35"/>
    </row>
    <row r="483" spans="2:2" ht="15.75" customHeight="1">
      <c r="B483" s="35"/>
    </row>
    <row r="484" spans="2:2" ht="15.75" customHeight="1">
      <c r="B484" s="35"/>
    </row>
    <row r="485" spans="2:2" ht="15.75" customHeight="1">
      <c r="B485" s="35"/>
    </row>
    <row r="486" spans="2:2" ht="15.75" customHeight="1">
      <c r="B486" s="35"/>
    </row>
    <row r="487" spans="2:2" ht="15.75" customHeight="1">
      <c r="B487" s="35"/>
    </row>
    <row r="488" spans="2:2" ht="15.75" customHeight="1">
      <c r="B488" s="35"/>
    </row>
    <row r="489" spans="2:2" ht="15.75" customHeight="1">
      <c r="B489" s="35"/>
    </row>
    <row r="490" spans="2:2" ht="15.75" customHeight="1">
      <c r="B490" s="35"/>
    </row>
    <row r="491" spans="2:2" ht="15.75" customHeight="1">
      <c r="B491" s="35"/>
    </row>
    <row r="492" spans="2:2" ht="15.75" customHeight="1">
      <c r="B492" s="35"/>
    </row>
    <row r="493" spans="2:2" ht="15.75" customHeight="1">
      <c r="B493" s="35"/>
    </row>
    <row r="494" spans="2:2" ht="15.75" customHeight="1">
      <c r="B494" s="35"/>
    </row>
    <row r="495" spans="2:2" ht="15.75" customHeight="1">
      <c r="B495" s="35"/>
    </row>
    <row r="496" spans="2:2" ht="15.75" customHeight="1">
      <c r="B496" s="35"/>
    </row>
    <row r="497" spans="2:2" ht="15.75" customHeight="1">
      <c r="B497" s="35"/>
    </row>
    <row r="498" spans="2:2" ht="15.75" customHeight="1">
      <c r="B498" s="35"/>
    </row>
    <row r="499" spans="2:2" ht="15.75" customHeight="1">
      <c r="B499" s="35"/>
    </row>
    <row r="500" spans="2:2" ht="15.75" customHeight="1">
      <c r="B500" s="35"/>
    </row>
    <row r="501" spans="2:2" ht="15.75" customHeight="1">
      <c r="B501" s="35"/>
    </row>
    <row r="502" spans="2:2" ht="15.75" customHeight="1">
      <c r="B502" s="35"/>
    </row>
    <row r="503" spans="2:2" ht="15.75" customHeight="1">
      <c r="B503" s="35"/>
    </row>
    <row r="504" spans="2:2" ht="15.75" customHeight="1">
      <c r="B504" s="35"/>
    </row>
    <row r="505" spans="2:2" ht="15.75" customHeight="1">
      <c r="B505" s="35"/>
    </row>
    <row r="506" spans="2:2" ht="15.75" customHeight="1">
      <c r="B506" s="35"/>
    </row>
    <row r="507" spans="2:2" ht="15.75" customHeight="1">
      <c r="B507" s="35"/>
    </row>
    <row r="508" spans="2:2" ht="15.75" customHeight="1">
      <c r="B508" s="35"/>
    </row>
    <row r="509" spans="2:2" ht="15.75" customHeight="1">
      <c r="B509" s="35"/>
    </row>
    <row r="510" spans="2:2" ht="15.75" customHeight="1">
      <c r="B510" s="35"/>
    </row>
    <row r="511" spans="2:2" ht="15.75" customHeight="1">
      <c r="B511" s="35"/>
    </row>
    <row r="512" spans="2:2" ht="15.75" customHeight="1">
      <c r="B512" s="35"/>
    </row>
    <row r="513" spans="2:2" ht="15.75" customHeight="1">
      <c r="B513" s="35"/>
    </row>
    <row r="514" spans="2:2" ht="15.75" customHeight="1">
      <c r="B514" s="35"/>
    </row>
    <row r="515" spans="2:2" ht="15.75" customHeight="1">
      <c r="B515" s="35"/>
    </row>
    <row r="516" spans="2:2" ht="15.75" customHeight="1">
      <c r="B516" s="35"/>
    </row>
    <row r="517" spans="2:2" ht="15.75" customHeight="1">
      <c r="B517" s="35"/>
    </row>
    <row r="518" spans="2:2" ht="15.75" customHeight="1">
      <c r="B518" s="35"/>
    </row>
    <row r="519" spans="2:2" ht="15.75" customHeight="1">
      <c r="B519" s="35"/>
    </row>
    <row r="520" spans="2:2" ht="15.75" customHeight="1">
      <c r="B520" s="35"/>
    </row>
    <row r="521" spans="2:2" ht="15.75" customHeight="1">
      <c r="B521" s="35"/>
    </row>
    <row r="522" spans="2:2" ht="15.75" customHeight="1">
      <c r="B522" s="35"/>
    </row>
    <row r="523" spans="2:2" ht="15.75" customHeight="1">
      <c r="B523" s="35"/>
    </row>
    <row r="524" spans="2:2" ht="15.75" customHeight="1">
      <c r="B524" s="35"/>
    </row>
    <row r="525" spans="2:2" ht="15.75" customHeight="1">
      <c r="B525" s="35"/>
    </row>
    <row r="526" spans="2:2" ht="15.75" customHeight="1">
      <c r="B526" s="35"/>
    </row>
    <row r="527" spans="2:2" ht="15.75" customHeight="1">
      <c r="B527" s="35"/>
    </row>
    <row r="528" spans="2:2" ht="15.75" customHeight="1">
      <c r="B528" s="35"/>
    </row>
    <row r="529" spans="2:2" ht="15.75" customHeight="1">
      <c r="B529" s="35"/>
    </row>
    <row r="530" spans="2:2" ht="15.75" customHeight="1">
      <c r="B530" s="35"/>
    </row>
    <row r="531" spans="2:2" ht="15.75" customHeight="1">
      <c r="B531" s="35"/>
    </row>
    <row r="532" spans="2:2" ht="15.75" customHeight="1">
      <c r="B532" s="35"/>
    </row>
    <row r="533" spans="2:2" ht="15.75" customHeight="1">
      <c r="B533" s="35"/>
    </row>
    <row r="534" spans="2:2" ht="15.75" customHeight="1">
      <c r="B534" s="35"/>
    </row>
    <row r="535" spans="2:2" ht="15.75" customHeight="1">
      <c r="B535" s="35"/>
    </row>
    <row r="536" spans="2:2" ht="15.75" customHeight="1">
      <c r="B536" s="35"/>
    </row>
    <row r="537" spans="2:2" ht="15.75" customHeight="1">
      <c r="B537" s="35"/>
    </row>
    <row r="538" spans="2:2" ht="15.75" customHeight="1">
      <c r="B538" s="35"/>
    </row>
    <row r="539" spans="2:2" ht="15.75" customHeight="1">
      <c r="B539" s="35"/>
    </row>
    <row r="540" spans="2:2" ht="15.75" customHeight="1">
      <c r="B540" s="35"/>
    </row>
    <row r="541" spans="2:2" ht="15.75" customHeight="1">
      <c r="B541" s="35"/>
    </row>
    <row r="542" spans="2:2" ht="15.75" customHeight="1">
      <c r="B542" s="35"/>
    </row>
    <row r="543" spans="2:2" ht="15.75" customHeight="1">
      <c r="B543" s="35"/>
    </row>
    <row r="544" spans="2:2" ht="15.75" customHeight="1">
      <c r="B544" s="35"/>
    </row>
    <row r="545" spans="2:2" ht="15.75" customHeight="1">
      <c r="B545" s="35"/>
    </row>
    <row r="546" spans="2:2" ht="15.75" customHeight="1">
      <c r="B546" s="35"/>
    </row>
    <row r="547" spans="2:2" ht="15.75" customHeight="1">
      <c r="B547" s="35"/>
    </row>
    <row r="548" spans="2:2" ht="15.75" customHeight="1">
      <c r="B548" s="35"/>
    </row>
    <row r="549" spans="2:2" ht="15.75" customHeight="1">
      <c r="B549" s="35"/>
    </row>
    <row r="550" spans="2:2" ht="15.75" customHeight="1">
      <c r="B550" s="35"/>
    </row>
    <row r="551" spans="2:2" ht="15.75" customHeight="1">
      <c r="B551" s="35"/>
    </row>
    <row r="552" spans="2:2" ht="15.75" customHeight="1">
      <c r="B552" s="35"/>
    </row>
    <row r="553" spans="2:2" ht="15.75" customHeight="1">
      <c r="B553" s="35"/>
    </row>
    <row r="554" spans="2:2" ht="15.75" customHeight="1">
      <c r="B554" s="35"/>
    </row>
    <row r="555" spans="2:2" ht="15.75" customHeight="1">
      <c r="B555" s="35"/>
    </row>
    <row r="556" spans="2:2" ht="15.75" customHeight="1">
      <c r="B556" s="35"/>
    </row>
    <row r="557" spans="2:2" ht="15.75" customHeight="1">
      <c r="B557" s="35"/>
    </row>
    <row r="558" spans="2:2" ht="15.75" customHeight="1">
      <c r="B558" s="35"/>
    </row>
    <row r="559" spans="2:2" ht="15.75" customHeight="1">
      <c r="B559" s="35"/>
    </row>
    <row r="560" spans="2:2" ht="15.75" customHeight="1">
      <c r="B560" s="35"/>
    </row>
    <row r="561" spans="2:2" ht="15.75" customHeight="1">
      <c r="B561" s="35"/>
    </row>
    <row r="562" spans="2:2" ht="15.75" customHeight="1">
      <c r="B562" s="35"/>
    </row>
    <row r="563" spans="2:2" ht="15.75" customHeight="1">
      <c r="B563" s="35"/>
    </row>
    <row r="564" spans="2:2" ht="15.75" customHeight="1">
      <c r="B564" s="35"/>
    </row>
    <row r="565" spans="2:2" ht="15.75" customHeight="1">
      <c r="B565" s="35"/>
    </row>
    <row r="566" spans="2:2" ht="15.75" customHeight="1">
      <c r="B566" s="35"/>
    </row>
    <row r="567" spans="2:2" ht="15.75" customHeight="1">
      <c r="B567" s="35"/>
    </row>
    <row r="568" spans="2:2" ht="15.75" customHeight="1">
      <c r="B568" s="35"/>
    </row>
    <row r="569" spans="2:2" ht="15.75" customHeight="1">
      <c r="B569" s="35"/>
    </row>
    <row r="570" spans="2:2" ht="15.75" customHeight="1">
      <c r="B570" s="35"/>
    </row>
    <row r="571" spans="2:2" ht="15.75" customHeight="1">
      <c r="B571" s="35"/>
    </row>
    <row r="572" spans="2:2" ht="15.75" customHeight="1">
      <c r="B572" s="35"/>
    </row>
    <row r="573" spans="2:2" ht="15.75" customHeight="1">
      <c r="B573" s="35"/>
    </row>
    <row r="574" spans="2:2" ht="15.75" customHeight="1">
      <c r="B574" s="35"/>
    </row>
    <row r="575" spans="2:2" ht="15.75" customHeight="1">
      <c r="B575" s="35"/>
    </row>
    <row r="576" spans="2:2" ht="15.75" customHeight="1">
      <c r="B576" s="35"/>
    </row>
    <row r="577" spans="2:2" ht="15.75" customHeight="1">
      <c r="B577" s="35"/>
    </row>
    <row r="578" spans="2:2" ht="15.75" customHeight="1">
      <c r="B578" s="35"/>
    </row>
    <row r="579" spans="2:2" ht="15.75" customHeight="1">
      <c r="B579" s="35"/>
    </row>
    <row r="580" spans="2:2" ht="15.75" customHeight="1">
      <c r="B580" s="35"/>
    </row>
    <row r="581" spans="2:2" ht="15.75" customHeight="1">
      <c r="B581" s="35"/>
    </row>
    <row r="582" spans="2:2" ht="15.75" customHeight="1">
      <c r="B582" s="35"/>
    </row>
    <row r="583" spans="2:2" ht="15.75" customHeight="1">
      <c r="B583" s="35"/>
    </row>
    <row r="584" spans="2:2" ht="15.75" customHeight="1">
      <c r="B584" s="35"/>
    </row>
    <row r="585" spans="2:2" ht="15.75" customHeight="1">
      <c r="B585" s="35"/>
    </row>
    <row r="586" spans="2:2" ht="15.75" customHeight="1">
      <c r="B586" s="35"/>
    </row>
    <row r="587" spans="2:2" ht="15.75" customHeight="1">
      <c r="B587" s="35"/>
    </row>
    <row r="588" spans="2:2" ht="15.75" customHeight="1">
      <c r="B588" s="35"/>
    </row>
    <row r="589" spans="2:2" ht="15.75" customHeight="1">
      <c r="B589" s="35"/>
    </row>
    <row r="590" spans="2:2" ht="15.75" customHeight="1">
      <c r="B590" s="35"/>
    </row>
    <row r="591" spans="2:2" ht="15.75" customHeight="1">
      <c r="B591" s="35"/>
    </row>
    <row r="592" spans="2:2" ht="15.75" customHeight="1">
      <c r="B592" s="35"/>
    </row>
    <row r="593" spans="2:2" ht="15.75" customHeight="1">
      <c r="B593" s="35"/>
    </row>
    <row r="594" spans="2:2" ht="15.75" customHeight="1">
      <c r="B594" s="35"/>
    </row>
    <row r="595" spans="2:2" ht="15.75" customHeight="1">
      <c r="B595" s="35"/>
    </row>
    <row r="596" spans="2:2" ht="15.75" customHeight="1">
      <c r="B596" s="35"/>
    </row>
    <row r="597" spans="2:2" ht="15.75" customHeight="1">
      <c r="B597" s="35"/>
    </row>
    <row r="598" spans="2:2" ht="15.75" customHeight="1">
      <c r="B598" s="35"/>
    </row>
    <row r="599" spans="2:2" ht="15.75" customHeight="1">
      <c r="B599" s="35"/>
    </row>
    <row r="600" spans="2:2" ht="15.75" customHeight="1">
      <c r="B600" s="35"/>
    </row>
    <row r="601" spans="2:2" ht="15.75" customHeight="1">
      <c r="B601" s="35"/>
    </row>
    <row r="602" spans="2:2" ht="15.75" customHeight="1">
      <c r="B602" s="35"/>
    </row>
    <row r="603" spans="2:2" ht="15.75" customHeight="1">
      <c r="B603" s="35"/>
    </row>
    <row r="604" spans="2:2" ht="15.75" customHeight="1">
      <c r="B604" s="35"/>
    </row>
    <row r="605" spans="2:2" ht="15.75" customHeight="1">
      <c r="B605" s="35"/>
    </row>
    <row r="606" spans="2:2" ht="15.75" customHeight="1">
      <c r="B606" s="35"/>
    </row>
    <row r="607" spans="2:2" ht="15.75" customHeight="1">
      <c r="B607" s="35"/>
    </row>
    <row r="608" spans="2:2" ht="15.75" customHeight="1">
      <c r="B608" s="35"/>
    </row>
    <row r="609" spans="2:2" ht="15.75" customHeight="1">
      <c r="B609" s="35"/>
    </row>
    <row r="610" spans="2:2" ht="15.75" customHeight="1">
      <c r="B610" s="35"/>
    </row>
    <row r="611" spans="2:2" ht="15.75" customHeight="1">
      <c r="B611" s="35"/>
    </row>
    <row r="612" spans="2:2" ht="15.75" customHeight="1">
      <c r="B612" s="35"/>
    </row>
    <row r="613" spans="2:2" ht="15.75" customHeight="1">
      <c r="B613" s="35"/>
    </row>
    <row r="614" spans="2:2" ht="15.75" customHeight="1">
      <c r="B614" s="35"/>
    </row>
    <row r="615" spans="2:2" ht="15.75" customHeight="1">
      <c r="B615" s="35"/>
    </row>
    <row r="616" spans="2:2" ht="15.75" customHeight="1">
      <c r="B616" s="35"/>
    </row>
    <row r="617" spans="2:2" ht="15.75" customHeight="1">
      <c r="B617" s="35"/>
    </row>
    <row r="618" spans="2:2" ht="15.75" customHeight="1">
      <c r="B618" s="35"/>
    </row>
    <row r="619" spans="2:2" ht="15.75" customHeight="1">
      <c r="B619" s="35"/>
    </row>
    <row r="620" spans="2:2" ht="15.75" customHeight="1">
      <c r="B620" s="35"/>
    </row>
    <row r="621" spans="2:2" ht="15.75" customHeight="1">
      <c r="B621" s="35"/>
    </row>
    <row r="622" spans="2:2" ht="15.75" customHeight="1">
      <c r="B622" s="35"/>
    </row>
    <row r="623" spans="2:2" ht="15.75" customHeight="1">
      <c r="B623" s="35"/>
    </row>
    <row r="624" spans="2:2" ht="15.75" customHeight="1">
      <c r="B624" s="35"/>
    </row>
    <row r="625" spans="2:2" ht="15.75" customHeight="1">
      <c r="B625" s="35"/>
    </row>
    <row r="626" spans="2:2" ht="15.75" customHeight="1">
      <c r="B626" s="35"/>
    </row>
    <row r="627" spans="2:2" ht="15.75" customHeight="1">
      <c r="B627" s="35"/>
    </row>
    <row r="628" spans="2:2" ht="15.75" customHeight="1">
      <c r="B628" s="35"/>
    </row>
    <row r="629" spans="2:2" ht="15.75" customHeight="1">
      <c r="B629" s="35"/>
    </row>
    <row r="630" spans="2:2" ht="15.75" customHeight="1">
      <c r="B630" s="35"/>
    </row>
    <row r="631" spans="2:2" ht="15.75" customHeight="1">
      <c r="B631" s="35"/>
    </row>
    <row r="632" spans="2:2" ht="15.75" customHeight="1">
      <c r="B632" s="35"/>
    </row>
    <row r="633" spans="2:2" ht="15.75" customHeight="1">
      <c r="B633" s="35"/>
    </row>
    <row r="634" spans="2:2" ht="15.75" customHeight="1">
      <c r="B634" s="35"/>
    </row>
    <row r="635" spans="2:2" ht="15.75" customHeight="1">
      <c r="B635" s="35"/>
    </row>
    <row r="636" spans="2:2" ht="15.75" customHeight="1">
      <c r="B636" s="35"/>
    </row>
    <row r="637" spans="2:2" ht="15.75" customHeight="1">
      <c r="B637" s="35"/>
    </row>
    <row r="638" spans="2:2" ht="15.75" customHeight="1">
      <c r="B638" s="35"/>
    </row>
    <row r="639" spans="2:2" ht="15.75" customHeight="1">
      <c r="B639" s="35"/>
    </row>
    <row r="640" spans="2:2" ht="15.75" customHeight="1">
      <c r="B640" s="35"/>
    </row>
    <row r="641" spans="2:2" ht="15.75" customHeight="1">
      <c r="B641" s="35"/>
    </row>
    <row r="642" spans="2:2" ht="15.75" customHeight="1">
      <c r="B642" s="35"/>
    </row>
    <row r="643" spans="2:2" ht="15.75" customHeight="1">
      <c r="B643" s="35"/>
    </row>
    <row r="644" spans="2:2" ht="15.75" customHeight="1">
      <c r="B644" s="35"/>
    </row>
    <row r="645" spans="2:2" ht="15.75" customHeight="1">
      <c r="B645" s="35"/>
    </row>
    <row r="646" spans="2:2" ht="15.75" customHeight="1">
      <c r="B646" s="35"/>
    </row>
    <row r="647" spans="2:2" ht="15.75" customHeight="1">
      <c r="B647" s="35"/>
    </row>
    <row r="648" spans="2:2" ht="15.75" customHeight="1">
      <c r="B648" s="35"/>
    </row>
    <row r="649" spans="2:2" ht="15.75" customHeight="1">
      <c r="B649" s="35"/>
    </row>
    <row r="650" spans="2:2" ht="15.75" customHeight="1">
      <c r="B650" s="35"/>
    </row>
    <row r="651" spans="2:2" ht="15.75" customHeight="1">
      <c r="B651" s="35"/>
    </row>
    <row r="652" spans="2:2" ht="15.75" customHeight="1">
      <c r="B652" s="35"/>
    </row>
    <row r="653" spans="2:2" ht="15.75" customHeight="1">
      <c r="B653" s="35"/>
    </row>
    <row r="654" spans="2:2" ht="15.75" customHeight="1">
      <c r="B654" s="35"/>
    </row>
    <row r="655" spans="2:2" ht="15.75" customHeight="1">
      <c r="B655" s="35"/>
    </row>
    <row r="656" spans="2:2" ht="15.75" customHeight="1">
      <c r="B656" s="35"/>
    </row>
    <row r="657" spans="2:2" ht="15.75" customHeight="1">
      <c r="B657" s="35"/>
    </row>
    <row r="658" spans="2:2" ht="15.75" customHeight="1">
      <c r="B658" s="35"/>
    </row>
    <row r="659" spans="2:2" ht="15.75" customHeight="1">
      <c r="B659" s="35"/>
    </row>
    <row r="660" spans="2:2" ht="15.75" customHeight="1">
      <c r="B660" s="35"/>
    </row>
    <row r="661" spans="2:2" ht="15.75" customHeight="1">
      <c r="B661" s="35"/>
    </row>
    <row r="662" spans="2:2" ht="15.75" customHeight="1">
      <c r="B662" s="35"/>
    </row>
    <row r="663" spans="2:2" ht="15.75" customHeight="1">
      <c r="B663" s="35"/>
    </row>
    <row r="664" spans="2:2" ht="15.75" customHeight="1">
      <c r="B664" s="35"/>
    </row>
    <row r="665" spans="2:2" ht="15.75" customHeight="1">
      <c r="B665" s="35"/>
    </row>
    <row r="666" spans="2:2" ht="15.75" customHeight="1">
      <c r="B666" s="35"/>
    </row>
    <row r="667" spans="2:2" ht="15.75" customHeight="1">
      <c r="B667" s="35"/>
    </row>
    <row r="668" spans="2:2" ht="15.75" customHeight="1">
      <c r="B668" s="35"/>
    </row>
    <row r="669" spans="2:2" ht="15.75" customHeight="1">
      <c r="B669" s="35"/>
    </row>
    <row r="670" spans="2:2" ht="15.75" customHeight="1">
      <c r="B670" s="35"/>
    </row>
    <row r="671" spans="2:2" ht="15.75" customHeight="1">
      <c r="B671" s="35"/>
    </row>
    <row r="672" spans="2:2" ht="15.75" customHeight="1">
      <c r="B672" s="35"/>
    </row>
    <row r="673" spans="2:2" ht="15.75" customHeight="1">
      <c r="B673" s="35"/>
    </row>
    <row r="674" spans="2:2" ht="15.75" customHeight="1">
      <c r="B674" s="35"/>
    </row>
    <row r="675" spans="2:2" ht="15.75" customHeight="1">
      <c r="B675" s="35"/>
    </row>
    <row r="676" spans="2:2" ht="15.75" customHeight="1">
      <c r="B676" s="35"/>
    </row>
    <row r="677" spans="2:2" ht="15.75" customHeight="1">
      <c r="B677" s="35"/>
    </row>
    <row r="678" spans="2:2" ht="15.75" customHeight="1">
      <c r="B678" s="35"/>
    </row>
    <row r="679" spans="2:2" ht="15.75" customHeight="1">
      <c r="B679" s="35"/>
    </row>
    <row r="680" spans="2:2" ht="15.75" customHeight="1">
      <c r="B680" s="35"/>
    </row>
    <row r="681" spans="2:2" ht="15.75" customHeight="1">
      <c r="B681" s="35"/>
    </row>
    <row r="682" spans="2:2" ht="15.75" customHeight="1">
      <c r="B682" s="35"/>
    </row>
    <row r="683" spans="2:2" ht="15.75" customHeight="1">
      <c r="B683" s="35"/>
    </row>
    <row r="684" spans="2:2" ht="15.75" customHeight="1">
      <c r="B684" s="35"/>
    </row>
    <row r="685" spans="2:2" ht="15.75" customHeight="1">
      <c r="B685" s="35"/>
    </row>
    <row r="686" spans="2:2" ht="15.75" customHeight="1">
      <c r="B686" s="35"/>
    </row>
    <row r="687" spans="2:2" ht="15.75" customHeight="1">
      <c r="B687" s="35"/>
    </row>
    <row r="688" spans="2:2" ht="15.75" customHeight="1">
      <c r="B688" s="35"/>
    </row>
    <row r="689" spans="2:2" ht="15.75" customHeight="1">
      <c r="B689" s="35"/>
    </row>
    <row r="690" spans="2:2" ht="15.75" customHeight="1">
      <c r="B690" s="35"/>
    </row>
    <row r="691" spans="2:2" ht="15.75" customHeight="1">
      <c r="B691" s="35"/>
    </row>
    <row r="692" spans="2:2" ht="15.75" customHeight="1">
      <c r="B692" s="35"/>
    </row>
    <row r="693" spans="2:2" ht="15.75" customHeight="1">
      <c r="B693" s="35"/>
    </row>
    <row r="694" spans="2:2" ht="15.75" customHeight="1">
      <c r="B694" s="35"/>
    </row>
    <row r="695" spans="2:2" ht="15.75" customHeight="1">
      <c r="B695" s="35"/>
    </row>
    <row r="696" spans="2:2" ht="15.75" customHeight="1">
      <c r="B696" s="35"/>
    </row>
    <row r="697" spans="2:2" ht="15.75" customHeight="1">
      <c r="B697" s="35"/>
    </row>
    <row r="698" spans="2:2" ht="15.75" customHeight="1">
      <c r="B698" s="35"/>
    </row>
    <row r="699" spans="2:2" ht="15.75" customHeight="1">
      <c r="B699" s="35"/>
    </row>
    <row r="700" spans="2:2" ht="15.75" customHeight="1">
      <c r="B700" s="35"/>
    </row>
    <row r="701" spans="2:2" ht="15.75" customHeight="1">
      <c r="B701" s="35"/>
    </row>
    <row r="702" spans="2:2" ht="15.75" customHeight="1">
      <c r="B702" s="35"/>
    </row>
    <row r="703" spans="2:2" ht="15.75" customHeight="1">
      <c r="B703" s="35"/>
    </row>
    <row r="704" spans="2:2" ht="15.75" customHeight="1">
      <c r="B704" s="35"/>
    </row>
    <row r="705" spans="2:2" ht="15.75" customHeight="1">
      <c r="B705" s="35"/>
    </row>
    <row r="706" spans="2:2" ht="15.75" customHeight="1">
      <c r="B706" s="35"/>
    </row>
    <row r="707" spans="2:2" ht="15.75" customHeight="1">
      <c r="B707" s="35"/>
    </row>
    <row r="708" spans="2:2" ht="15.75" customHeight="1">
      <c r="B708" s="35"/>
    </row>
    <row r="709" spans="2:2" ht="15.75" customHeight="1">
      <c r="B709" s="35"/>
    </row>
    <row r="710" spans="2:2" ht="15.75" customHeight="1">
      <c r="B710" s="35"/>
    </row>
    <row r="711" spans="2:2" ht="15.75" customHeight="1">
      <c r="B711" s="35"/>
    </row>
    <row r="712" spans="2:2" ht="15.75" customHeight="1">
      <c r="B712" s="35"/>
    </row>
    <row r="713" spans="2:2" ht="15.75" customHeight="1">
      <c r="B713" s="35"/>
    </row>
    <row r="714" spans="2:2" ht="15.75" customHeight="1">
      <c r="B714" s="35"/>
    </row>
    <row r="715" spans="2:2" ht="15.75" customHeight="1">
      <c r="B715" s="35"/>
    </row>
    <row r="716" spans="2:2" ht="15.75" customHeight="1">
      <c r="B716" s="35"/>
    </row>
    <row r="717" spans="2:2" ht="15.75" customHeight="1">
      <c r="B717" s="35"/>
    </row>
    <row r="718" spans="2:2" ht="15.75" customHeight="1">
      <c r="B718" s="35"/>
    </row>
    <row r="719" spans="2:2" ht="15.75" customHeight="1">
      <c r="B719" s="35"/>
    </row>
    <row r="720" spans="2:2" ht="15.75" customHeight="1">
      <c r="B720" s="35"/>
    </row>
    <row r="721" spans="2:2" ht="15.75" customHeight="1">
      <c r="B721" s="35"/>
    </row>
    <row r="722" spans="2:2" ht="15.75" customHeight="1">
      <c r="B722" s="35"/>
    </row>
    <row r="723" spans="2:2" ht="15.75" customHeight="1">
      <c r="B723" s="35"/>
    </row>
    <row r="724" spans="2:2" ht="15.75" customHeight="1">
      <c r="B724" s="35"/>
    </row>
    <row r="725" spans="2:2" ht="15.75" customHeight="1">
      <c r="B725" s="35"/>
    </row>
    <row r="726" spans="2:2" ht="15.75" customHeight="1">
      <c r="B726" s="35"/>
    </row>
    <row r="727" spans="2:2" ht="15.75" customHeight="1">
      <c r="B727" s="35"/>
    </row>
    <row r="728" spans="2:2" ht="15.75" customHeight="1">
      <c r="B728" s="35"/>
    </row>
    <row r="729" spans="2:2" ht="15.75" customHeight="1">
      <c r="B729" s="35"/>
    </row>
    <row r="730" spans="2:2" ht="15.75" customHeight="1">
      <c r="B730" s="35"/>
    </row>
    <row r="731" spans="2:2" ht="15.75" customHeight="1">
      <c r="B731" s="35"/>
    </row>
    <row r="732" spans="2:2" ht="15.75" customHeight="1">
      <c r="B732" s="35"/>
    </row>
    <row r="733" spans="2:2" ht="15.75" customHeight="1">
      <c r="B733" s="35"/>
    </row>
    <row r="734" spans="2:2" ht="15.75" customHeight="1">
      <c r="B734" s="35"/>
    </row>
    <row r="735" spans="2:2" ht="15.75" customHeight="1">
      <c r="B735" s="35"/>
    </row>
    <row r="736" spans="2:2" ht="15.75" customHeight="1">
      <c r="B736" s="35"/>
    </row>
    <row r="737" spans="2:2" ht="15.75" customHeight="1">
      <c r="B737" s="35"/>
    </row>
    <row r="738" spans="2:2" ht="15.75" customHeight="1">
      <c r="B738" s="35"/>
    </row>
    <row r="739" spans="2:2" ht="15.75" customHeight="1">
      <c r="B739" s="35"/>
    </row>
    <row r="740" spans="2:2" ht="15.75" customHeight="1">
      <c r="B740" s="35"/>
    </row>
    <row r="741" spans="2:2" ht="15.75" customHeight="1">
      <c r="B741" s="35"/>
    </row>
    <row r="742" spans="2:2" ht="15.75" customHeight="1">
      <c r="B742" s="35"/>
    </row>
    <row r="743" spans="2:2" ht="15.75" customHeight="1">
      <c r="B743" s="35"/>
    </row>
    <row r="744" spans="2:2" ht="15.75" customHeight="1">
      <c r="B744" s="35"/>
    </row>
    <row r="745" spans="2:2" ht="15.75" customHeight="1">
      <c r="B745" s="35"/>
    </row>
    <row r="746" spans="2:2" ht="15.75" customHeight="1">
      <c r="B746" s="35"/>
    </row>
    <row r="747" spans="2:2" ht="15.75" customHeight="1">
      <c r="B747" s="35"/>
    </row>
    <row r="748" spans="2:2" ht="15.75" customHeight="1">
      <c r="B748" s="35"/>
    </row>
    <row r="749" spans="2:2" ht="15.75" customHeight="1">
      <c r="B749" s="35"/>
    </row>
    <row r="750" spans="2:2" ht="15.75" customHeight="1">
      <c r="B750" s="35"/>
    </row>
    <row r="751" spans="2:2" ht="15.75" customHeight="1">
      <c r="B751" s="35"/>
    </row>
    <row r="752" spans="2:2" ht="15.75" customHeight="1">
      <c r="B752" s="35"/>
    </row>
    <row r="753" spans="2:2" ht="15.75" customHeight="1">
      <c r="B753" s="35"/>
    </row>
    <row r="754" spans="2:2" ht="15.75" customHeight="1">
      <c r="B754" s="35"/>
    </row>
    <row r="755" spans="2:2" ht="15.75" customHeight="1">
      <c r="B755" s="35"/>
    </row>
    <row r="756" spans="2:2" ht="15.75" customHeight="1">
      <c r="B756" s="35"/>
    </row>
    <row r="757" spans="2:2" ht="15.75" customHeight="1">
      <c r="B757" s="35"/>
    </row>
    <row r="758" spans="2:2" ht="15.75" customHeight="1">
      <c r="B758" s="35"/>
    </row>
    <row r="759" spans="2:2" ht="15.75" customHeight="1">
      <c r="B759" s="35"/>
    </row>
    <row r="760" spans="2:2" ht="15.75" customHeight="1">
      <c r="B760" s="35"/>
    </row>
    <row r="761" spans="2:2" ht="15.75" customHeight="1">
      <c r="B761" s="35"/>
    </row>
    <row r="762" spans="2:2" ht="15.75" customHeight="1">
      <c r="B762" s="35"/>
    </row>
    <row r="763" spans="2:2" ht="15.75" customHeight="1">
      <c r="B763" s="35"/>
    </row>
    <row r="764" spans="2:2" ht="15.75" customHeight="1">
      <c r="B764" s="35"/>
    </row>
    <row r="765" spans="2:2" ht="15.75" customHeight="1">
      <c r="B765" s="35"/>
    </row>
    <row r="766" spans="2:2" ht="15.75" customHeight="1">
      <c r="B766" s="35"/>
    </row>
    <row r="767" spans="2:2" ht="15.75" customHeight="1">
      <c r="B767" s="35"/>
    </row>
    <row r="768" spans="2:2" ht="15.75" customHeight="1">
      <c r="B768" s="35"/>
    </row>
    <row r="769" spans="2:2" ht="15.75" customHeight="1">
      <c r="B769" s="35"/>
    </row>
    <row r="770" spans="2:2" ht="15.75" customHeight="1">
      <c r="B770" s="35"/>
    </row>
    <row r="771" spans="2:2" ht="15.75" customHeight="1">
      <c r="B771" s="35"/>
    </row>
    <row r="772" spans="2:2" ht="15.75" customHeight="1">
      <c r="B772" s="35"/>
    </row>
    <row r="773" spans="2:2" ht="15.75" customHeight="1">
      <c r="B773" s="35"/>
    </row>
    <row r="774" spans="2:2" ht="15.75" customHeight="1">
      <c r="B774" s="35"/>
    </row>
    <row r="775" spans="2:2" ht="15.75" customHeight="1">
      <c r="B775" s="35"/>
    </row>
    <row r="776" spans="2:2" ht="15.75" customHeight="1">
      <c r="B776" s="35"/>
    </row>
    <row r="777" spans="2:2" ht="15.75" customHeight="1">
      <c r="B777" s="35"/>
    </row>
    <row r="778" spans="2:2" ht="15.75" customHeight="1">
      <c r="B778" s="35"/>
    </row>
    <row r="779" spans="2:2" ht="15.75" customHeight="1">
      <c r="B779" s="35"/>
    </row>
    <row r="780" spans="2:2" ht="15.75" customHeight="1">
      <c r="B780" s="35"/>
    </row>
    <row r="781" spans="2:2" ht="15.75" customHeight="1">
      <c r="B781" s="35"/>
    </row>
    <row r="782" spans="2:2" ht="15.75" customHeight="1">
      <c r="B782" s="35"/>
    </row>
    <row r="783" spans="2:2" ht="15.75" customHeight="1">
      <c r="B783" s="35"/>
    </row>
    <row r="784" spans="2:2" ht="15.75" customHeight="1">
      <c r="B784" s="35"/>
    </row>
    <row r="785" spans="2:2" ht="15.75" customHeight="1">
      <c r="B785" s="35"/>
    </row>
    <row r="786" spans="2:2" ht="15.75" customHeight="1">
      <c r="B786" s="35"/>
    </row>
    <row r="787" spans="2:2" ht="15.75" customHeight="1">
      <c r="B787" s="35"/>
    </row>
    <row r="788" spans="2:2" ht="15.75" customHeight="1">
      <c r="B788" s="35"/>
    </row>
    <row r="789" spans="2:2" ht="15.75" customHeight="1">
      <c r="B789" s="35"/>
    </row>
    <row r="790" spans="2:2" ht="15.75" customHeight="1">
      <c r="B790" s="35"/>
    </row>
    <row r="791" spans="2:2" ht="15.75" customHeight="1">
      <c r="B791" s="35"/>
    </row>
    <row r="792" spans="2:2" ht="15.75" customHeight="1">
      <c r="B792" s="35"/>
    </row>
    <row r="793" spans="2:2" ht="15.75" customHeight="1">
      <c r="B793" s="35"/>
    </row>
    <row r="794" spans="2:2" ht="15.75" customHeight="1">
      <c r="B794" s="35"/>
    </row>
    <row r="795" spans="2:2" ht="15.75" customHeight="1">
      <c r="B795" s="35"/>
    </row>
    <row r="796" spans="2:2" ht="15.75" customHeight="1">
      <c r="B796" s="35"/>
    </row>
    <row r="797" spans="2:2" ht="15.75" customHeight="1">
      <c r="B797" s="35"/>
    </row>
    <row r="798" spans="2:2" ht="15.75" customHeight="1">
      <c r="B798" s="35"/>
    </row>
    <row r="799" spans="2:2" ht="15.75" customHeight="1">
      <c r="B799" s="35"/>
    </row>
    <row r="800" spans="2:2" ht="15.75" customHeight="1">
      <c r="B800" s="35"/>
    </row>
    <row r="801" spans="2:2" ht="15.75" customHeight="1">
      <c r="B801" s="35"/>
    </row>
    <row r="802" spans="2:2" ht="15.75" customHeight="1">
      <c r="B802" s="35"/>
    </row>
    <row r="803" spans="2:2" ht="15.75" customHeight="1">
      <c r="B803" s="35"/>
    </row>
    <row r="804" spans="2:2" ht="15.75" customHeight="1">
      <c r="B804" s="35"/>
    </row>
    <row r="805" spans="2:2" ht="15.75" customHeight="1">
      <c r="B805" s="35"/>
    </row>
    <row r="806" spans="2:2" ht="15.75" customHeight="1">
      <c r="B806" s="35"/>
    </row>
    <row r="807" spans="2:2" ht="15.75" customHeight="1">
      <c r="B807" s="35"/>
    </row>
    <row r="808" spans="2:2" ht="15.75" customHeight="1">
      <c r="B808" s="35"/>
    </row>
    <row r="809" spans="2:2" ht="15.75" customHeight="1">
      <c r="B809" s="35"/>
    </row>
    <row r="810" spans="2:2" ht="15.75" customHeight="1">
      <c r="B810" s="35"/>
    </row>
    <row r="811" spans="2:2" ht="15.75" customHeight="1">
      <c r="B811" s="35"/>
    </row>
    <row r="812" spans="2:2" ht="15.75" customHeight="1">
      <c r="B812" s="35"/>
    </row>
    <row r="813" spans="2:2" ht="15.75" customHeight="1">
      <c r="B813" s="35"/>
    </row>
    <row r="814" spans="2:2" ht="15.75" customHeight="1">
      <c r="B814" s="35"/>
    </row>
    <row r="815" spans="2:2" ht="15.75" customHeight="1">
      <c r="B815" s="35"/>
    </row>
    <row r="816" spans="2:2" ht="15.75" customHeight="1">
      <c r="B816" s="35"/>
    </row>
    <row r="817" spans="2:2" ht="15.75" customHeight="1">
      <c r="B817" s="35"/>
    </row>
    <row r="818" spans="2:2" ht="15.75" customHeight="1">
      <c r="B818" s="35"/>
    </row>
    <row r="819" spans="2:2" ht="15.75" customHeight="1">
      <c r="B819" s="35"/>
    </row>
    <row r="820" spans="2:2" ht="15.75" customHeight="1">
      <c r="B820" s="35"/>
    </row>
    <row r="821" spans="2:2" ht="15.75" customHeight="1">
      <c r="B821" s="35"/>
    </row>
    <row r="822" spans="2:2" ht="15.75" customHeight="1">
      <c r="B822" s="35"/>
    </row>
    <row r="823" spans="2:2" ht="15.75" customHeight="1">
      <c r="B823" s="35"/>
    </row>
    <row r="824" spans="2:2" ht="15.75" customHeight="1">
      <c r="B824" s="35"/>
    </row>
    <row r="825" spans="2:2" ht="15.75" customHeight="1">
      <c r="B825" s="35"/>
    </row>
    <row r="826" spans="2:2" ht="15.75" customHeight="1">
      <c r="B826" s="35"/>
    </row>
    <row r="827" spans="2:2" ht="15.75" customHeight="1">
      <c r="B827" s="35"/>
    </row>
    <row r="828" spans="2:2" ht="15.75" customHeight="1">
      <c r="B828" s="35"/>
    </row>
    <row r="829" spans="2:2" ht="15.75" customHeight="1">
      <c r="B829" s="35"/>
    </row>
    <row r="830" spans="2:2" ht="15.75" customHeight="1">
      <c r="B830" s="35"/>
    </row>
    <row r="831" spans="2:2" ht="15.75" customHeight="1">
      <c r="B831" s="35"/>
    </row>
    <row r="832" spans="2:2" ht="15.75" customHeight="1">
      <c r="B832" s="35"/>
    </row>
    <row r="833" spans="2:2" ht="15.75" customHeight="1">
      <c r="B833" s="35"/>
    </row>
    <row r="834" spans="2:2" ht="15.75" customHeight="1">
      <c r="B834" s="35"/>
    </row>
    <row r="835" spans="2:2" ht="15.75" customHeight="1">
      <c r="B835" s="35"/>
    </row>
    <row r="836" spans="2:2" ht="15.75" customHeight="1">
      <c r="B836" s="35"/>
    </row>
    <row r="837" spans="2:2" ht="15.75" customHeight="1">
      <c r="B837" s="35"/>
    </row>
    <row r="838" spans="2:2" ht="15.75" customHeight="1">
      <c r="B838" s="35"/>
    </row>
    <row r="839" spans="2:2" ht="15.75" customHeight="1">
      <c r="B839" s="35"/>
    </row>
    <row r="840" spans="2:2" ht="15.75" customHeight="1">
      <c r="B840" s="35"/>
    </row>
    <row r="841" spans="2:2" ht="15.75" customHeight="1">
      <c r="B841" s="35"/>
    </row>
    <row r="842" spans="2:2" ht="15.75" customHeight="1">
      <c r="B842" s="35"/>
    </row>
    <row r="843" spans="2:2" ht="15.75" customHeight="1">
      <c r="B843" s="35"/>
    </row>
    <row r="844" spans="2:2" ht="15.75" customHeight="1">
      <c r="B844" s="35"/>
    </row>
    <row r="845" spans="2:2" ht="15.75" customHeight="1">
      <c r="B845" s="35"/>
    </row>
    <row r="846" spans="2:2" ht="15.75" customHeight="1">
      <c r="B846" s="35"/>
    </row>
    <row r="847" spans="2:2" ht="15.75" customHeight="1">
      <c r="B847" s="35"/>
    </row>
    <row r="848" spans="2:2" ht="15.75" customHeight="1">
      <c r="B848" s="35"/>
    </row>
    <row r="849" spans="2:2" ht="15.75" customHeight="1">
      <c r="B849" s="35"/>
    </row>
    <row r="850" spans="2:2" ht="15.75" customHeight="1">
      <c r="B850" s="35"/>
    </row>
    <row r="851" spans="2:2" ht="15.75" customHeight="1">
      <c r="B851" s="35"/>
    </row>
    <row r="852" spans="2:2" ht="15.75" customHeight="1">
      <c r="B852" s="35"/>
    </row>
    <row r="853" spans="2:2" ht="15.75" customHeight="1">
      <c r="B853" s="35"/>
    </row>
    <row r="854" spans="2:2" ht="15.75" customHeight="1">
      <c r="B854" s="35"/>
    </row>
    <row r="855" spans="2:2" ht="15.75" customHeight="1">
      <c r="B855" s="35"/>
    </row>
    <row r="856" spans="2:2" ht="15.75" customHeight="1">
      <c r="B856" s="35"/>
    </row>
    <row r="857" spans="2:2" ht="15.75" customHeight="1">
      <c r="B857" s="35"/>
    </row>
    <row r="858" spans="2:2" ht="15.75" customHeight="1">
      <c r="B858" s="35"/>
    </row>
    <row r="859" spans="2:2" ht="15.75" customHeight="1">
      <c r="B859" s="35"/>
    </row>
    <row r="860" spans="2:2" ht="15.75" customHeight="1">
      <c r="B860" s="35"/>
    </row>
    <row r="861" spans="2:2" ht="15.75" customHeight="1">
      <c r="B861" s="35"/>
    </row>
    <row r="862" spans="2:2" ht="15.75" customHeight="1">
      <c r="B862" s="35"/>
    </row>
    <row r="863" spans="2:2" ht="15.75" customHeight="1">
      <c r="B863" s="35"/>
    </row>
    <row r="864" spans="2:2" ht="15.75" customHeight="1">
      <c r="B864" s="35"/>
    </row>
    <row r="865" spans="2:2" ht="15.75" customHeight="1">
      <c r="B865" s="35"/>
    </row>
    <row r="866" spans="2:2" ht="15.75" customHeight="1">
      <c r="B866" s="35"/>
    </row>
    <row r="867" spans="2:2" ht="15.75" customHeight="1">
      <c r="B867" s="35"/>
    </row>
    <row r="868" spans="2:2" ht="15.75" customHeight="1">
      <c r="B868" s="35"/>
    </row>
    <row r="869" spans="2:2" ht="15.75" customHeight="1">
      <c r="B869" s="35"/>
    </row>
    <row r="870" spans="2:2" ht="15.75" customHeight="1">
      <c r="B870" s="35"/>
    </row>
    <row r="871" spans="2:2" ht="15.75" customHeight="1">
      <c r="B871" s="35"/>
    </row>
    <row r="872" spans="2:2" ht="15.75" customHeight="1">
      <c r="B872" s="35"/>
    </row>
    <row r="873" spans="2:2" ht="15.75" customHeight="1">
      <c r="B873" s="35"/>
    </row>
    <row r="874" spans="2:2" ht="15.75" customHeight="1">
      <c r="B874" s="35"/>
    </row>
    <row r="875" spans="2:2" ht="15.75" customHeight="1">
      <c r="B875" s="35"/>
    </row>
    <row r="876" spans="2:2" ht="15.75" customHeight="1">
      <c r="B876" s="35"/>
    </row>
    <row r="877" spans="2:2" ht="15.75" customHeight="1">
      <c r="B877" s="35"/>
    </row>
    <row r="878" spans="2:2" ht="15.75" customHeight="1">
      <c r="B878" s="35"/>
    </row>
    <row r="879" spans="2:2" ht="15.75" customHeight="1">
      <c r="B879" s="35"/>
    </row>
    <row r="880" spans="2:2" ht="15.75" customHeight="1">
      <c r="B880" s="35"/>
    </row>
    <row r="881" spans="2:2" ht="15.75" customHeight="1">
      <c r="B881" s="35"/>
    </row>
    <row r="882" spans="2:2" ht="15.75" customHeight="1">
      <c r="B882" s="35"/>
    </row>
    <row r="883" spans="2:2" ht="15.75" customHeight="1">
      <c r="B883" s="35"/>
    </row>
    <row r="884" spans="2:2" ht="15.75" customHeight="1">
      <c r="B884" s="35"/>
    </row>
    <row r="885" spans="2:2" ht="15.75" customHeight="1">
      <c r="B885" s="35"/>
    </row>
    <row r="886" spans="2:2" ht="15.75" customHeight="1">
      <c r="B886" s="35"/>
    </row>
    <row r="887" spans="2:2" ht="15.75" customHeight="1">
      <c r="B887" s="35"/>
    </row>
    <row r="888" spans="2:2" ht="15.75" customHeight="1">
      <c r="B888" s="35"/>
    </row>
    <row r="889" spans="2:2" ht="15.75" customHeight="1">
      <c r="B889" s="35"/>
    </row>
    <row r="890" spans="2:2" ht="15.75" customHeight="1">
      <c r="B890" s="35"/>
    </row>
    <row r="891" spans="2:2" ht="15.75" customHeight="1">
      <c r="B891" s="35"/>
    </row>
    <row r="892" spans="2:2" ht="15.75" customHeight="1">
      <c r="B892" s="35"/>
    </row>
    <row r="893" spans="2:2" ht="15.75" customHeight="1">
      <c r="B893" s="35"/>
    </row>
    <row r="894" spans="2:2" ht="15.75" customHeight="1">
      <c r="B894" s="35"/>
    </row>
    <row r="895" spans="2:2" ht="15.75" customHeight="1">
      <c r="B895" s="35"/>
    </row>
    <row r="896" spans="2:2" ht="15.75" customHeight="1">
      <c r="B896" s="35"/>
    </row>
    <row r="897" spans="2:2" ht="15.75" customHeight="1">
      <c r="B897" s="35"/>
    </row>
    <row r="898" spans="2:2" ht="15.75" customHeight="1">
      <c r="B898" s="35"/>
    </row>
    <row r="899" spans="2:2" ht="15.75" customHeight="1">
      <c r="B899" s="35"/>
    </row>
    <row r="900" spans="2:2" ht="15.75" customHeight="1">
      <c r="B900" s="35"/>
    </row>
    <row r="901" spans="2:2" ht="15.75" customHeight="1">
      <c r="B901" s="35"/>
    </row>
    <row r="902" spans="2:2" ht="15.75" customHeight="1">
      <c r="B902" s="35"/>
    </row>
    <row r="903" spans="2:2" ht="15.75" customHeight="1">
      <c r="B903" s="35"/>
    </row>
    <row r="904" spans="2:2" ht="15.75" customHeight="1">
      <c r="B904" s="35"/>
    </row>
    <row r="905" spans="2:2" ht="15.75" customHeight="1">
      <c r="B905" s="35"/>
    </row>
    <row r="906" spans="2:2" ht="15.75" customHeight="1">
      <c r="B906" s="35"/>
    </row>
    <row r="907" spans="2:2" ht="15.75" customHeight="1">
      <c r="B907" s="35"/>
    </row>
    <row r="908" spans="2:2" ht="15.75" customHeight="1">
      <c r="B908" s="35"/>
    </row>
    <row r="909" spans="2:2" ht="15.75" customHeight="1">
      <c r="B909" s="35"/>
    </row>
    <row r="910" spans="2:2" ht="15.75" customHeight="1">
      <c r="B910" s="35"/>
    </row>
    <row r="911" spans="2:2" ht="15.75" customHeight="1">
      <c r="B911" s="35"/>
    </row>
    <row r="912" spans="2:2" ht="15.75" customHeight="1">
      <c r="B912" s="35"/>
    </row>
    <row r="913" spans="2:2" ht="15.75" customHeight="1">
      <c r="B913" s="35"/>
    </row>
    <row r="914" spans="2:2" ht="15.75" customHeight="1">
      <c r="B914" s="35"/>
    </row>
    <row r="915" spans="2:2" ht="15.75" customHeight="1">
      <c r="B915" s="35"/>
    </row>
    <row r="916" spans="2:2" ht="15.75" customHeight="1">
      <c r="B916" s="35"/>
    </row>
    <row r="917" spans="2:2" ht="15.75" customHeight="1">
      <c r="B917" s="35"/>
    </row>
    <row r="918" spans="2:2" ht="15.75" customHeight="1">
      <c r="B918" s="35"/>
    </row>
    <row r="919" spans="2:2" ht="15.75" customHeight="1">
      <c r="B919" s="35"/>
    </row>
    <row r="920" spans="2:2" ht="15.75" customHeight="1">
      <c r="B920" s="35"/>
    </row>
    <row r="921" spans="2:2" ht="15.75" customHeight="1">
      <c r="B921" s="35"/>
    </row>
    <row r="922" spans="2:2" ht="15.75" customHeight="1">
      <c r="B922" s="35"/>
    </row>
    <row r="923" spans="2:2" ht="15.75" customHeight="1">
      <c r="B923" s="35"/>
    </row>
    <row r="924" spans="2:2" ht="15.75" customHeight="1">
      <c r="B924" s="35"/>
    </row>
    <row r="925" spans="2:2" ht="15.75" customHeight="1">
      <c r="B925" s="35"/>
    </row>
    <row r="926" spans="2:2" ht="15.75" customHeight="1">
      <c r="B926" s="35"/>
    </row>
    <row r="927" spans="2:2" ht="15.75" customHeight="1">
      <c r="B927" s="35"/>
    </row>
    <row r="928" spans="2:2" ht="15.75" customHeight="1">
      <c r="B928" s="35"/>
    </row>
    <row r="929" spans="2:2" ht="15.75" customHeight="1">
      <c r="B929" s="35"/>
    </row>
    <row r="930" spans="2:2" ht="15.75" customHeight="1">
      <c r="B930" s="35"/>
    </row>
    <row r="931" spans="2:2" ht="15.75" customHeight="1">
      <c r="B931" s="35"/>
    </row>
    <row r="932" spans="2:2" ht="15.75" customHeight="1">
      <c r="B932" s="35"/>
    </row>
    <row r="933" spans="2:2" ht="15.75" customHeight="1">
      <c r="B933" s="35"/>
    </row>
    <row r="934" spans="2:2" ht="15.75" customHeight="1">
      <c r="B934" s="35"/>
    </row>
    <row r="935" spans="2:2" ht="15.75" customHeight="1">
      <c r="B935" s="35"/>
    </row>
    <row r="936" spans="2:2" ht="15.75" customHeight="1">
      <c r="B936" s="35"/>
    </row>
    <row r="937" spans="2:2" ht="15.75" customHeight="1">
      <c r="B937" s="35"/>
    </row>
    <row r="938" spans="2:2" ht="15.75" customHeight="1">
      <c r="B938" s="35"/>
    </row>
    <row r="939" spans="2:2" ht="15.75" customHeight="1">
      <c r="B939" s="35"/>
    </row>
    <row r="940" spans="2:2" ht="15.75" customHeight="1">
      <c r="B940" s="35"/>
    </row>
    <row r="941" spans="2:2" ht="15.75" customHeight="1">
      <c r="B941" s="35"/>
    </row>
    <row r="942" spans="2:2" ht="15.75" customHeight="1">
      <c r="B942" s="35"/>
    </row>
    <row r="943" spans="2:2" ht="15.75" customHeight="1">
      <c r="B943" s="35"/>
    </row>
    <row r="944" spans="2:2" ht="15.75" customHeight="1">
      <c r="B944" s="35"/>
    </row>
    <row r="945" spans="2:2" ht="15.75" customHeight="1">
      <c r="B945" s="35"/>
    </row>
    <row r="946" spans="2:2" ht="15.75" customHeight="1">
      <c r="B946" s="35"/>
    </row>
    <row r="947" spans="2:2" ht="15.75" customHeight="1">
      <c r="B947" s="35"/>
    </row>
    <row r="948" spans="2:2" ht="15.75" customHeight="1">
      <c r="B948" s="35"/>
    </row>
    <row r="949" spans="2:2" ht="15.75" customHeight="1">
      <c r="B949" s="35"/>
    </row>
    <row r="950" spans="2:2" ht="15.75" customHeight="1">
      <c r="B950" s="35"/>
    </row>
    <row r="951" spans="2:2" ht="15.75" customHeight="1">
      <c r="B951" s="35"/>
    </row>
    <row r="952" spans="2:2" ht="15.75" customHeight="1">
      <c r="B952" s="35"/>
    </row>
    <row r="953" spans="2:2" ht="15.75" customHeight="1">
      <c r="B953" s="35"/>
    </row>
    <row r="954" spans="2:2" ht="15.75" customHeight="1">
      <c r="B954" s="35"/>
    </row>
    <row r="955" spans="2:2" ht="15.75" customHeight="1">
      <c r="B955" s="35"/>
    </row>
    <row r="956" spans="2:2" ht="15.75" customHeight="1">
      <c r="B956" s="35"/>
    </row>
    <row r="957" spans="2:2" ht="15.75" customHeight="1">
      <c r="B957" s="35"/>
    </row>
    <row r="958" spans="2:2" ht="15.75" customHeight="1">
      <c r="B958" s="35"/>
    </row>
    <row r="959" spans="2:2" ht="15.75" customHeight="1">
      <c r="B959" s="35"/>
    </row>
    <row r="960" spans="2:2" ht="15.75" customHeight="1">
      <c r="B960" s="35"/>
    </row>
    <row r="961" spans="2:2" ht="15.75" customHeight="1">
      <c r="B961" s="35"/>
    </row>
    <row r="962" spans="2:2" ht="15.75" customHeight="1">
      <c r="B962" s="35"/>
    </row>
    <row r="963" spans="2:2" ht="15.75" customHeight="1">
      <c r="B963" s="35"/>
    </row>
    <row r="964" spans="2:2" ht="15.75" customHeight="1">
      <c r="B964" s="35"/>
    </row>
    <row r="965" spans="2:2" ht="15.75" customHeight="1">
      <c r="B965" s="35"/>
    </row>
    <row r="966" spans="2:2" ht="15.75" customHeight="1">
      <c r="B966" s="35"/>
    </row>
    <row r="967" spans="2:2" ht="15.75" customHeight="1">
      <c r="B967" s="35"/>
    </row>
    <row r="968" spans="2:2" ht="15.75" customHeight="1">
      <c r="B968" s="35"/>
    </row>
    <row r="969" spans="2:2" ht="15.75" customHeight="1">
      <c r="B969" s="35"/>
    </row>
    <row r="970" spans="2:2" ht="15.75" customHeight="1">
      <c r="B970" s="35"/>
    </row>
    <row r="971" spans="2:2" ht="15.75" customHeight="1">
      <c r="B971" s="35"/>
    </row>
    <row r="972" spans="2:2" ht="15.75" customHeight="1">
      <c r="B972" s="35"/>
    </row>
    <row r="973" spans="2:2" ht="15.75" customHeight="1">
      <c r="B973" s="35"/>
    </row>
    <row r="974" spans="2:2" ht="15.75" customHeight="1">
      <c r="B974" s="35"/>
    </row>
    <row r="975" spans="2:2" ht="15.75" customHeight="1">
      <c r="B975" s="35"/>
    </row>
    <row r="976" spans="2:2" ht="15.75" customHeight="1">
      <c r="B976" s="35"/>
    </row>
    <row r="977" spans="2:2" ht="15.75" customHeight="1">
      <c r="B977" s="35"/>
    </row>
    <row r="978" spans="2:2" ht="15.75" customHeight="1">
      <c r="B978" s="35"/>
    </row>
    <row r="979" spans="2:2" ht="15.75" customHeight="1">
      <c r="B979" s="35"/>
    </row>
    <row r="980" spans="2:2" ht="15.75" customHeight="1">
      <c r="B980" s="35"/>
    </row>
    <row r="981" spans="2:2" ht="15.75" customHeight="1">
      <c r="B981" s="35"/>
    </row>
    <row r="982" spans="2:2" ht="15.75" customHeight="1">
      <c r="B982" s="35"/>
    </row>
    <row r="983" spans="2:2" ht="15.75" customHeight="1">
      <c r="B983" s="35"/>
    </row>
    <row r="984" spans="2:2" ht="15.75" customHeight="1">
      <c r="B984" s="35"/>
    </row>
    <row r="985" spans="2:2" ht="15.75" customHeight="1">
      <c r="B985" s="35"/>
    </row>
    <row r="986" spans="2:2" ht="15.75" customHeight="1">
      <c r="B986" s="35"/>
    </row>
    <row r="987" spans="2:2" ht="15.75" customHeight="1">
      <c r="B987" s="35"/>
    </row>
    <row r="988" spans="2:2" ht="15.75" customHeight="1">
      <c r="B988" s="35"/>
    </row>
    <row r="989" spans="2:2" ht="15.75" customHeight="1">
      <c r="B989" s="35"/>
    </row>
    <row r="990" spans="2:2" ht="15.75" customHeight="1">
      <c r="B990" s="35"/>
    </row>
    <row r="991" spans="2:2" ht="15.75" customHeight="1">
      <c r="B991" s="35"/>
    </row>
    <row r="992" spans="2:2" ht="15.75" customHeight="1">
      <c r="B992" s="35"/>
    </row>
    <row r="993" spans="2:2" ht="15.75" customHeight="1">
      <c r="B993" s="35"/>
    </row>
    <row r="994" spans="2:2" ht="15.75" customHeight="1">
      <c r="B994" s="35"/>
    </row>
    <row r="995" spans="2:2" ht="15.75" customHeight="1">
      <c r="B995" s="35"/>
    </row>
    <row r="996" spans="2:2" ht="15.75" customHeight="1">
      <c r="B996" s="35"/>
    </row>
    <row r="997" spans="2:2" ht="15.75" customHeight="1">
      <c r="B997" s="35"/>
    </row>
    <row r="998" spans="2:2" ht="15.75" customHeight="1">
      <c r="B998" s="35"/>
    </row>
    <row r="999" spans="2:2" ht="15.75" customHeight="1">
      <c r="B999" s="35"/>
    </row>
    <row r="1000" spans="2:2" ht="15.75" customHeight="1">
      <c r="B1000" s="35"/>
    </row>
  </sheetData>
  <mergeCells count="2">
    <mergeCell ref="A1:K1"/>
    <mergeCell ref="A2:K2"/>
  </mergeCells>
  <dataValidations count="2">
    <dataValidation type="list" allowBlank="1" sqref="K4:K200">
      <formula1>"Open,In Progress,Fixed,Verified,Closed,Won't Fix"</formula1>
    </dataValidation>
    <dataValidation type="list" allowBlank="1" sqref="E4:E200">
      <formula1>"🔴 Critical,🟡 High,🟢 Medium,🔵 Low"</formula1>
    </dataValidation>
  </dataValidations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>
  <dimension ref="A1:G1000"/>
  <sheetViews>
    <sheetView showGridLines="0" workbookViewId="0">
      <selection activeCell="F19" sqref="F19"/>
    </sheetView>
  </sheetViews>
  <sheetFormatPr defaultColWidth="14.42578125" defaultRowHeight="15" customHeight="1"/>
  <cols>
    <col min="1" max="1" width="4" customWidth="1"/>
    <col min="2" max="2" width="30" customWidth="1"/>
    <col min="3" max="7" width="20" customWidth="1"/>
    <col min="8" max="26" width="8.7109375" customWidth="1"/>
  </cols>
  <sheetData>
    <row r="1" spans="1:7" ht="36" customHeight="1">
      <c r="A1" s="141" t="s">
        <v>928</v>
      </c>
      <c r="B1" s="113"/>
      <c r="C1" s="113"/>
      <c r="D1" s="113"/>
      <c r="E1" s="113"/>
      <c r="F1" s="113"/>
      <c r="G1" s="114"/>
    </row>
    <row r="2" spans="1:7">
      <c r="A2" s="115"/>
      <c r="B2" s="116"/>
      <c r="C2" s="116"/>
      <c r="D2" s="116"/>
      <c r="E2" s="116"/>
      <c r="F2" s="116"/>
      <c r="G2" s="117"/>
    </row>
    <row r="4" spans="1:7" ht="21.75" customHeight="1">
      <c r="B4" s="139" t="s">
        <v>929</v>
      </c>
      <c r="C4" s="109"/>
      <c r="D4" s="109"/>
      <c r="E4" s="109"/>
      <c r="F4" s="109"/>
      <c r="G4" s="110"/>
    </row>
    <row r="5" spans="1:7" ht="21.75" customHeight="1">
      <c r="B5" s="97" t="s">
        <v>3</v>
      </c>
      <c r="C5" s="142">
        <f>COUNTA('1.UI Visual'!G:G)+COUNTA('2.Functional'!G:G)+COUNTA('3.Responsive'!G:G)+COUNTA('4.CrossBrowser'!G:G)+COUNTA('5.Accessibility'!G:G)+COUNTA('6.Performance'!G:G)-6</f>
        <v>323</v>
      </c>
      <c r="D5" s="109"/>
      <c r="E5" s="109"/>
      <c r="F5" s="109"/>
      <c r="G5" s="110"/>
    </row>
    <row r="6" spans="1:7" ht="21.75" customHeight="1">
      <c r="B6" s="98" t="s">
        <v>4</v>
      </c>
      <c r="C6" s="143">
        <f>COUNTIF('1.UI Visual'!G:G,"Pass")+COUNTIF('2.Functional'!G:G,"Pass")+COUNTIF('3.Responsive'!G:G,"Pass")+COUNTIF('4.CrossBrowser'!G:G,"Pass")+COUNTIF('5.Accessibility'!G:G,"Pass")+COUNTIF('6.Performance'!G:G,"Pass")</f>
        <v>219</v>
      </c>
      <c r="D6" s="109"/>
      <c r="E6" s="109"/>
      <c r="F6" s="109"/>
      <c r="G6" s="110"/>
    </row>
    <row r="7" spans="1:7" ht="21.75" customHeight="1">
      <c r="B7" s="99" t="s">
        <v>5</v>
      </c>
      <c r="C7" s="144">
        <f>COUNTIF('1.UI Visual'!G:G,"Fail")+COUNTIF('2.Functional'!G:G,"Fail")+COUNTIF('3.Responsive'!G:G,"Fail")+COUNTIF('4.CrossBrowser'!G:G,"Fail")+COUNTIF('5.Accessibility'!G:G,"Fail")+COUNTIF('6.Performance'!G:G,"Fail")</f>
        <v>75</v>
      </c>
      <c r="D7" s="109"/>
      <c r="E7" s="109"/>
      <c r="F7" s="109"/>
      <c r="G7" s="110"/>
    </row>
    <row r="8" spans="1:7" ht="21.75" customHeight="1">
      <c r="B8" s="100" t="s">
        <v>6</v>
      </c>
      <c r="C8" s="137">
        <f>COUNTIF('1.UI Visual'!G:G,"Not Run")+COUNTIF('2.Functional'!G:G,"Not Run")+COUNTIF('3.Responsive'!G:G,"Not Run")+COUNTIF('4.CrossBrowser'!G:G,"Not Run")+COUNTIF('5.Accessibility'!G:G,"Not Run")+COUNTIF('6.Performance'!G:G,"Not Run")</f>
        <v>17</v>
      </c>
      <c r="D8" s="109"/>
      <c r="E8" s="109"/>
      <c r="F8" s="109"/>
      <c r="G8" s="110"/>
    </row>
    <row r="9" spans="1:7" ht="21.75" customHeight="1">
      <c r="B9" s="101" t="s">
        <v>7</v>
      </c>
      <c r="C9" s="138">
        <f>IFERROR(C6/C5,0)</f>
        <v>0.67801857585139313</v>
      </c>
      <c r="D9" s="109"/>
      <c r="E9" s="109"/>
      <c r="F9" s="109"/>
      <c r="G9" s="110"/>
    </row>
    <row r="10" spans="1:7" ht="21.75" customHeight="1">
      <c r="B10" s="102" t="s">
        <v>930</v>
      </c>
      <c r="C10" s="136" t="str">
        <f>IF(C7&gt;0,"❌ FAIL",IF(C9&gt;=0.95,"✅ PASS","⚠️ CONDITIONAL PASS"))</f>
        <v>❌ FAIL</v>
      </c>
      <c r="D10" s="109"/>
      <c r="E10" s="109"/>
      <c r="F10" s="109"/>
      <c r="G10" s="110"/>
    </row>
    <row r="12" spans="1:7" ht="21.75" customHeight="1"/>
    <row r="13" spans="1:7" ht="19.5" customHeight="1"/>
    <row r="14" spans="1:7" ht="19.5" customHeight="1"/>
    <row r="15" spans="1:7" ht="19.5" customHeight="1"/>
    <row r="16" spans="1:7" ht="19.5" customHeight="1"/>
    <row r="17" spans="2:7" ht="19.5" customHeight="1"/>
    <row r="21" spans="2:7" ht="15.75" customHeight="1"/>
    <row r="22" spans="2:7" ht="15.75" customHeight="1"/>
    <row r="23" spans="2:7" ht="15.75" customHeight="1"/>
    <row r="24" spans="2:7" ht="15.75" customHeight="1"/>
    <row r="25" spans="2:7" ht="15.75" customHeight="1"/>
    <row r="26" spans="2:7" ht="15.75" customHeight="1"/>
    <row r="27" spans="2:7" ht="15.75" customHeight="1">
      <c r="B27" s="139" t="s">
        <v>931</v>
      </c>
      <c r="C27" s="109"/>
      <c r="D27" s="109"/>
      <c r="E27" s="109"/>
      <c r="F27" s="109"/>
      <c r="G27" s="110"/>
    </row>
    <row r="28" spans="2:7" ht="15.75" customHeight="1">
      <c r="B28" s="105" t="s">
        <v>932</v>
      </c>
      <c r="C28" s="105" t="s">
        <v>933</v>
      </c>
      <c r="D28" s="105" t="s">
        <v>934</v>
      </c>
      <c r="E28" s="105" t="s">
        <v>935</v>
      </c>
      <c r="F28" s="140" t="s">
        <v>936</v>
      </c>
      <c r="G28" s="110"/>
    </row>
    <row r="29" spans="2:7" ht="15.75" customHeight="1">
      <c r="B29" s="106" t="s">
        <v>937</v>
      </c>
      <c r="C29" s="103"/>
      <c r="D29" s="103"/>
      <c r="E29" s="103"/>
      <c r="F29" s="135"/>
      <c r="G29" s="110"/>
    </row>
    <row r="30" spans="2:7" ht="15.75" customHeight="1">
      <c r="B30" s="107" t="s">
        <v>938</v>
      </c>
      <c r="C30" s="104"/>
      <c r="D30" s="104"/>
      <c r="E30" s="104"/>
      <c r="F30" s="134"/>
      <c r="G30" s="110"/>
    </row>
    <row r="31" spans="2:7" ht="15.75" customHeight="1">
      <c r="B31" s="106" t="s">
        <v>939</v>
      </c>
      <c r="C31" s="103"/>
      <c r="D31" s="103"/>
      <c r="E31" s="103"/>
      <c r="F31" s="135"/>
      <c r="G31" s="110"/>
    </row>
    <row r="32" spans="2:7" ht="15.75" customHeight="1">
      <c r="B32" s="107" t="s">
        <v>940</v>
      </c>
      <c r="C32" s="104"/>
      <c r="D32" s="104"/>
      <c r="E32" s="104"/>
      <c r="F32" s="134"/>
      <c r="G32" s="110"/>
    </row>
    <row r="33" ht="15.75" customHeight="1"/>
    <row r="34" ht="21.75" customHeight="1"/>
    <row r="35" ht="19.5" customHeight="1"/>
    <row r="36" ht="24" customHeight="1"/>
    <row r="37" ht="24" customHeight="1"/>
    <row r="38" ht="24" customHeight="1"/>
    <row r="39" ht="24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A1:G2"/>
    <mergeCell ref="B4:G4"/>
    <mergeCell ref="C5:G5"/>
    <mergeCell ref="C6:G6"/>
    <mergeCell ref="C7:G7"/>
    <mergeCell ref="F30:G30"/>
    <mergeCell ref="F31:G31"/>
    <mergeCell ref="F32:G32"/>
    <mergeCell ref="C10:G10"/>
    <mergeCell ref="C8:G8"/>
    <mergeCell ref="C9:G9"/>
    <mergeCell ref="B27:G27"/>
    <mergeCell ref="F28:G28"/>
    <mergeCell ref="F29:G29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📊 Dashboard</vt:lpstr>
      <vt:lpstr>1.UI Visual</vt:lpstr>
      <vt:lpstr>2.Functional</vt:lpstr>
      <vt:lpstr>3.Responsive</vt:lpstr>
      <vt:lpstr>4.CrossBrowser</vt:lpstr>
      <vt:lpstr>5.Accessibility</vt:lpstr>
      <vt:lpstr>6.Performance</vt:lpstr>
      <vt:lpstr>🐛 Bug Log</vt:lpstr>
      <vt:lpstr>📝 Test Report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User</cp:lastModifiedBy>
  <dcterms:modified xsi:type="dcterms:W3CDTF">2026-04-21T21:03:20Z</dcterms:modified>
</cp:coreProperties>
</file>